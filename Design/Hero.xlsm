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029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flutterunity\HeroFishing\Design\"/>
    </mc:Choice>
  </mc:AlternateContent>
  <xr:revisionPtr revIDLastSave="0" documentId="13_ncr:1_{6D81C328-61B4-413C-9B59-3018F9EB3D91}" xr6:coauthVersionLast="47" xr6:coauthVersionMax="47" xr10:uidLastSave="{00000000-0000-0000-0000-000000000000}"/>
  <bookViews>
    <workbookView xWindow="4920" yWindow="3060" windowWidth="21600" windowHeight="11385" activeTab="2" xr2:uid="{00000000-000D-0000-FFFF-FFFF00000000}"/>
  </bookViews>
  <sheets>
    <sheet name="Hero" sheetId="1" r:id="rId1"/>
    <sheet name="HeroSkin" sheetId="12" r:id="rId2"/>
    <sheet name="HeroSpell" sheetId="10" r:id="rId3"/>
    <sheet name="HeroEXP" sheetId="11" r:id="rId4"/>
    <sheet name="Info" sheetId="6" r:id="rId5"/>
    <sheet name="Setting" sheetId="7" r:id="rId6"/>
  </sheets>
  <functionGroups builtInGroupCount="19"/>
  <definedNames>
    <definedName name="RoleCategory">OFFSET(Setting!$A$10:$A$29,,,COUNTA(Setting!$A$10:$A$29))</definedName>
    <definedName name="SkillCategory">OFFSET(Setting!$C$10:$C$29,,,COUNTA(Setting!$C$10:$C$29))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14" i="10" l="1"/>
  <c r="D5" i="10"/>
  <c r="D6" i="10"/>
  <c r="D7" i="10"/>
  <c r="D8" i="10"/>
  <c r="D11" i="10"/>
  <c r="D12" i="10"/>
  <c r="D13" i="10"/>
  <c r="D14" i="10"/>
  <c r="D17" i="10"/>
  <c r="D18" i="10"/>
  <c r="D19" i="10"/>
  <c r="D20" i="10"/>
  <c r="D23" i="10"/>
  <c r="D24" i="10"/>
  <c r="D25" i="10"/>
  <c r="D26" i="10"/>
  <c r="D29" i="10"/>
  <c r="D30" i="10"/>
  <c r="D31" i="10"/>
  <c r="D32" i="10"/>
  <c r="D35" i="10"/>
  <c r="D36" i="10"/>
  <c r="D37" i="10"/>
  <c r="D38" i="10"/>
  <c r="D41" i="10"/>
  <c r="D42" i="10"/>
  <c r="D43" i="10"/>
  <c r="D44" i="10"/>
  <c r="D47" i="10"/>
  <c r="D48" i="10"/>
  <c r="D49" i="10"/>
  <c r="D50" i="10"/>
  <c r="D53" i="10"/>
  <c r="D54" i="10"/>
  <c r="D55" i="10"/>
  <c r="D56" i="10"/>
  <c r="D59" i="10"/>
  <c r="D60" i="10"/>
  <c r="D61" i="10"/>
  <c r="D62" i="10"/>
  <c r="D65" i="10"/>
  <c r="D66" i="10"/>
  <c r="D67" i="10"/>
  <c r="D68" i="10"/>
  <c r="D71" i="10"/>
  <c r="D72" i="10"/>
  <c r="D73" i="10"/>
  <c r="D74" i="10"/>
  <c r="D77" i="10"/>
  <c r="D78" i="10"/>
  <c r="D79" i="10"/>
  <c r="D80" i="10"/>
  <c r="D83" i="10"/>
  <c r="D84" i="10"/>
  <c r="D85" i="10"/>
  <c r="D86" i="10"/>
  <c r="D89" i="10"/>
  <c r="D90" i="10"/>
  <c r="D91" i="10"/>
  <c r="D92" i="10"/>
  <c r="D95" i="10"/>
  <c r="D96" i="10"/>
  <c r="D97" i="10"/>
  <c r="D98" i="10"/>
  <c r="D101" i="10"/>
  <c r="D102" i="10"/>
  <c r="D103" i="10"/>
  <c r="D104" i="10"/>
  <c r="D107" i="10"/>
  <c r="D108" i="10"/>
  <c r="D109" i="10"/>
  <c r="D110" i="10"/>
  <c r="D113" i="10"/>
  <c r="D115" i="10"/>
  <c r="D116" i="10"/>
  <c r="D119" i="10"/>
  <c r="D120" i="10"/>
  <c r="D121" i="10"/>
  <c r="D122" i="10"/>
  <c r="G122" i="10"/>
  <c r="G121" i="10"/>
  <c r="G120" i="10"/>
  <c r="G116" i="10"/>
  <c r="G115" i="10"/>
  <c r="G114" i="10"/>
  <c r="G110" i="10"/>
  <c r="G109" i="10"/>
  <c r="G108" i="10"/>
  <c r="G104" i="10"/>
  <c r="G103" i="10"/>
  <c r="G102" i="10"/>
  <c r="G98" i="10"/>
  <c r="G97" i="10"/>
  <c r="G96" i="10"/>
  <c r="G92" i="10"/>
  <c r="G91" i="10"/>
  <c r="G90" i="10"/>
  <c r="G86" i="10"/>
  <c r="G85" i="10"/>
  <c r="G84" i="10"/>
  <c r="G80" i="10"/>
  <c r="G79" i="10"/>
  <c r="G78" i="10"/>
  <c r="G74" i="10"/>
  <c r="G73" i="10"/>
  <c r="G72" i="10"/>
  <c r="G68" i="10"/>
  <c r="G67" i="10"/>
  <c r="G66" i="10"/>
  <c r="G62" i="10"/>
  <c r="G61" i="10"/>
  <c r="G60" i="10"/>
  <c r="G56" i="10"/>
  <c r="G55" i="10"/>
  <c r="G54" i="10"/>
  <c r="G50" i="10"/>
  <c r="G49" i="10"/>
  <c r="G48" i="10"/>
  <c r="G44" i="10"/>
  <c r="G43" i="10"/>
  <c r="G42" i="10"/>
  <c r="G38" i="10"/>
  <c r="G37" i="10"/>
  <c r="G36" i="10"/>
  <c r="G32" i="10"/>
  <c r="G31" i="10"/>
  <c r="G30" i="10"/>
  <c r="G26" i="10"/>
  <c r="G25" i="10"/>
  <c r="G24" i="10"/>
  <c r="G20" i="10"/>
  <c r="G19" i="10"/>
  <c r="G18" i="10"/>
  <c r="G14" i="10"/>
  <c r="G13" i="10"/>
  <c r="G12" i="10"/>
  <c r="G8" i="10"/>
  <c r="G7" i="10"/>
  <c r="G6" i="1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E2" authorId="0" shapeId="0" xr:uid="{2A37A2E0-128F-4DAB-B234-9FF66E6C1135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沒有填RTP就使用DBMap的attackRTP(普攻RTP)</t>
        </r>
      </text>
    </comment>
    <comment ref="I2" authorId="0" shapeId="0" xr:uid="{C8D6985B-5F19-4163-91A9-B2CD37424CB2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每波命中的最大怪物數量
填3就是每波可以最多命中3個怪物</t>
        </r>
      </text>
    </comment>
    <comment ref="J2" authorId="0" shapeId="0" xr:uid="{DDAFB0E1-6188-4FFF-AB37-3F7971E46625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每波命中的最大怪物數量
填3就是每波可以最多命中3個怪物</t>
        </r>
      </text>
    </comment>
    <comment ref="K2" authorId="0" shapeId="0" xr:uid="{9620A1EA-C0DE-4CF8-8AA4-E0BEA186CCD9}">
      <text>
        <r>
          <rPr>
            <b/>
            <sz val="9"/>
            <color indexed="81"/>
            <rFont val="Tahoma"/>
            <family val="2"/>
          </rPr>
          <t>Oscar:</t>
        </r>
        <r>
          <rPr>
            <sz val="9"/>
            <color indexed="81"/>
            <rFont val="Tahoma"/>
            <family val="2"/>
          </rPr>
          <t xml:space="preserve">
Rot: </t>
        </r>
        <r>
          <rPr>
            <sz val="9"/>
            <color indexed="81"/>
            <rFont val="細明體"/>
            <family val="3"/>
            <charset val="136"/>
          </rPr>
          <t>指示物在拖曳的時候跟著角色旋轉
Mov: 指示物拖曳的時候緊跟滑鼠</t>
        </r>
      </text>
    </comment>
    <comment ref="L2" authorId="0" shapeId="0" xr:uid="{5D76821A-7E9F-427D-91CE-6BA5D26DD5A1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LineShot</t>
        </r>
        <r>
          <rPr>
            <sz val="9"/>
            <color indexed="81"/>
            <rFont val="細明體"/>
            <family val="3"/>
            <charset val="136"/>
          </rPr>
          <t xml:space="preserve">：直線命中路徑上第一個目標
</t>
        </r>
        <r>
          <rPr>
            <sz val="9"/>
            <color indexed="81"/>
            <rFont val="Tahoma"/>
            <family val="2"/>
          </rPr>
          <t>SpreadLineShot</t>
        </r>
        <r>
          <rPr>
            <sz val="9"/>
            <color indexed="81"/>
            <rFont val="細明體"/>
            <family val="3"/>
            <charset val="136"/>
          </rPr>
          <t xml:space="preserve">：錐形直線散射命中路徑上第一個目標
</t>
        </r>
        <r>
          <rPr>
            <sz val="9"/>
            <color indexed="81"/>
            <rFont val="Tahoma"/>
            <family val="2"/>
          </rPr>
          <t>LineRange</t>
        </r>
        <r>
          <rPr>
            <sz val="9"/>
            <color indexed="81"/>
            <rFont val="細明體"/>
            <family val="3"/>
            <charset val="136"/>
          </rPr>
          <t>：直線命中範圍內目標</t>
        </r>
      </text>
    </comment>
    <comment ref="N2" authorId="0" shapeId="0" xr:uid="{CD740681-B895-4BDF-9709-A74D2E6D78FD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LineShot(</t>
        </r>
        <r>
          <rPr>
            <sz val="9"/>
            <color indexed="81"/>
            <rFont val="細明體"/>
            <family val="3"/>
            <charset val="136"/>
          </rPr>
          <t>直線飛射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>：</t>
        </r>
        <r>
          <rPr>
            <sz val="9"/>
            <color indexed="81"/>
            <rFont val="Tahoma"/>
            <family val="2"/>
          </rPr>
          <t xml:space="preserve"> 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子彈速度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細明體"/>
            <family val="3"/>
            <charset val="136"/>
          </rPr>
          <t>子彈延遲</t>
        </r>
        <r>
          <rPr>
            <sz val="9"/>
            <color indexed="81"/>
            <rFont val="Tahoma"/>
            <family val="2"/>
          </rPr>
          <t>] 
SpreadLineShot(</t>
        </r>
        <r>
          <rPr>
            <sz val="9"/>
            <color indexed="81"/>
            <rFont val="細明體"/>
            <family val="3"/>
            <charset val="136"/>
          </rPr>
          <t>錐形直線飛射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>：</t>
        </r>
        <r>
          <rPr>
            <sz val="9"/>
            <color indexed="81"/>
            <rFont val="Tahoma"/>
            <family val="2"/>
          </rPr>
          <t>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子彈速度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散射間隔角度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散射數量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>]
CircleArea(</t>
        </r>
        <r>
          <rPr>
            <sz val="9"/>
            <color indexed="81"/>
            <rFont val="細明體"/>
            <family val="3"/>
            <charset val="136"/>
          </rPr>
          <t>圓形範圍</t>
        </r>
        <r>
          <rPr>
            <sz val="9"/>
            <color indexed="81"/>
            <rFont val="Tahoma"/>
            <family val="2"/>
          </rPr>
          <t>): [</t>
        </r>
        <r>
          <rPr>
            <sz val="9"/>
            <color indexed="81"/>
            <rFont val="細明體"/>
            <family val="3"/>
            <charset val="136"/>
          </rPr>
          <t>碰撞範圍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特效大小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子彈延遲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碰撞延遲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碰撞時間</t>
        </r>
        <r>
          <rPr>
            <sz val="9"/>
            <color indexed="81"/>
            <rFont val="Tahoma"/>
            <family val="2"/>
          </rPr>
          <t>]</t>
        </r>
      </text>
    </comment>
    <comment ref="P2" authorId="0" shapeId="0" xr:uid="{55CC4302-7F81-415A-BD96-29B7FB83134D}">
      <text>
        <r>
          <rPr>
            <b/>
            <sz val="9"/>
            <color indexed="81"/>
            <rFont val="Tahoma"/>
            <family val="2"/>
          </rPr>
          <t>Oscar:</t>
        </r>
        <r>
          <rPr>
            <sz val="9"/>
            <color indexed="81"/>
            <rFont val="Tahoma"/>
            <family val="2"/>
          </rPr>
          <t xml:space="preserve">
Chain: </t>
        </r>
        <r>
          <rPr>
            <sz val="9"/>
            <color indexed="81"/>
            <rFont val="細明體"/>
            <family val="3"/>
            <charset val="136"/>
          </rPr>
          <t>連鎖擊中特效 [觸發範圍, 子彈寬度, 子彈速度, 生命週期, 擴散角度, 最大連鎖怪物數量]</t>
        </r>
      </text>
    </comment>
    <comment ref="R2" authorId="0" shapeId="0" xr:uid="{7C262D42-D216-4B6B-8E4E-A7089A507419}">
      <text>
        <r>
          <rPr>
            <b/>
            <sz val="9"/>
            <color indexed="81"/>
            <rFont val="Tahoma"/>
            <family val="2"/>
          </rPr>
          <t>Oscar:</t>
        </r>
        <r>
          <rPr>
            <sz val="9"/>
            <color indexed="81"/>
            <rFont val="Tahoma"/>
            <family val="2"/>
          </rPr>
          <t xml:space="preserve">
Target: [</t>
        </r>
        <r>
          <rPr>
            <sz val="9"/>
            <color indexed="81"/>
            <rFont val="細明體"/>
            <family val="3"/>
            <charset val="136"/>
          </rPr>
          <t>移動延遲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細明體"/>
            <family val="3"/>
            <charset val="136"/>
          </rPr>
          <t>移動速度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細明體"/>
            <family val="3"/>
            <charset val="136"/>
          </rPr>
          <t>最大高度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細明體"/>
            <family val="3"/>
            <charset val="136"/>
          </rPr>
          <t>平移為0), 回位時間</t>
        </r>
        <r>
          <rPr>
            <sz val="9"/>
            <color indexed="81"/>
            <rFont val="Tahoma"/>
            <family val="2"/>
          </rPr>
          <t>]</t>
        </r>
      </text>
    </comment>
    <comment ref="V2" authorId="0" shapeId="0" xr:uid="{F81669C7-F351-4C82-93D9-0992C07B059F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必須為數字</t>
        </r>
      </text>
    </comment>
    <comment ref="X2" authorId="0" shapeId="0" xr:uid="{9A1DCC3C-55D2-4C36-BF85-C5D912AFD309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(R,G,B,A,Itensity,Fresnel,Opacity,smooth,Metallic)</t>
        </r>
      </text>
    </comment>
    <comment ref="Y2" authorId="0" shapeId="0" xr:uid="{AB0ABF64-0159-48A1-A71D-1207C7B04A29}">
      <text>
        <r>
          <rPr>
            <b/>
            <sz val="9"/>
            <color indexed="81"/>
            <rFont val="Tahoma"/>
            <family val="2"/>
          </rPr>
          <t>Oscar:</t>
        </r>
        <r>
          <rPr>
            <sz val="9"/>
            <color indexed="81"/>
            <rFont val="Tahoma"/>
            <family val="2"/>
          </rPr>
          <t xml:space="preserve">
(</t>
        </r>
        <r>
          <rPr>
            <sz val="9"/>
            <color indexed="81"/>
            <rFont val="細明體"/>
            <family val="3"/>
            <charset val="136"/>
          </rPr>
          <t>延遲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震動幅度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振動頻率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持續時間</t>
        </r>
        <r>
          <rPr>
            <sz val="9"/>
            <color indexed="81"/>
            <rFont val="Tahoma"/>
            <family val="2"/>
          </rPr>
          <t>)</t>
        </r>
      </text>
    </comment>
    <comment ref="Z2" authorId="0" shapeId="0" xr:uid="{2068FB3A-33D4-44B3-9023-3D92BFCD3AF3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(Specular Color: R,G,B,A,Intensity)
(Rim Color: R,G,B,A,Intensity)
,</t>
        </r>
        <r>
          <rPr>
            <sz val="9"/>
            <color indexed="81"/>
            <rFont val="細明體"/>
            <family val="3"/>
            <charset val="136"/>
          </rPr>
          <t>持續時間</t>
        </r>
      </text>
    </comment>
  </commentList>
</comments>
</file>

<file path=xl/sharedStrings.xml><?xml version="1.0" encoding="utf-8"?>
<sst xmlns="http://schemas.openxmlformats.org/spreadsheetml/2006/main" count="583" uniqueCount="329">
  <si>
    <t>欄位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</si>
  <si>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</si>
  <si>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</si>
  <si>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</si>
  <si>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</si>
  <si>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</si>
  <si>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</si>
  <si>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</si>
  <si>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</si>
  <si>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</si>
  <si>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</si>
  <si>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</si>
  <si>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</si>
  <si>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</si>
  <si>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</si>
  <si>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</si>
  <si>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</si>
  <si>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</si>
  <si>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</si>
  <si>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</si>
  <si>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</si>
  <si>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</si>
  <si>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</si>
  <si>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</si>
  <si>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</si>
  <si>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</si>
  <si>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</si>
  <si>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</si>
  <si>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</si>
  <si>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</si>
  <si>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</si>
  <si>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</si>
  <si>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</si>
  <si>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</si>
  <si>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</si>
  <si>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</si>
  <si>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</si>
  <si>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</si>
  <si>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</si>
  <si>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</si>
  <si>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</si>
  <si>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</si>
  <si>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</si>
  <si>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</si>
  <si>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</si>
  <si>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</si>
  <si>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</si>
  <si>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</si>
  <si>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</si>
  <si>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</si>
  <si>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</si>
  <si>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</si>
  <si>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</si>
  <si>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</si>
  <si>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</si>
  <si>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</si>
  <si>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</si>
  <si>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</si>
  <si>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</si>
  <si>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</si>
  <si>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</si>
  <si>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</si>
  <si>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</si>
  <si>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</si>
  <si>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</si>
  <si>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</si>
  <si>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</si>
  <si>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</si>
  <si>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</si>
  <si>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</si>
  <si>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</si>
  <si>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</si>
  <si>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</si>
  <si>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</si>
  <si>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</si>
  <si>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</si>
  <si>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</si>
  <si>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資料格式</t>
    <phoneticPr fontId="1" type="noConversion"/>
  </si>
  <si>
    <t>中文名稱</t>
    <phoneticPr fontId="1" type="noConversion"/>
  </si>
  <si>
    <t>ID</t>
    <phoneticPr fontId="1" type="noConversion"/>
  </si>
  <si>
    <t>編號</t>
    <phoneticPr fontId="1" type="noConversion"/>
  </si>
  <si>
    <t>Object</t>
    <phoneticPr fontId="1" type="noConversion"/>
  </si>
  <si>
    <t>輸出Json</t>
  </si>
  <si>
    <t>End</t>
    <phoneticPr fontId="1" type="noConversion"/>
  </si>
  <si>
    <t>Name_</t>
  </si>
  <si>
    <t>Description_</t>
  </si>
  <si>
    <t>Ref</t>
  </si>
  <si>
    <t>名稱</t>
  </si>
  <si>
    <t>說明</t>
  </si>
  <si>
    <t>參考</t>
  </si>
  <si>
    <t>好運姐</t>
    <phoneticPr fontId="1" type="noConversion"/>
  </si>
  <si>
    <t>分類</t>
    <phoneticPr fontId="1" type="noConversion"/>
  </si>
  <si>
    <t>LOL</t>
  </si>
  <si>
    <t>LOL</t>
    <phoneticPr fontId="1" type="noConversion"/>
  </si>
  <si>
    <t>DOTA2</t>
    <phoneticPr fontId="1" type="noConversion"/>
  </si>
  <si>
    <t>Original</t>
    <phoneticPr fontId="1" type="noConversion"/>
  </si>
  <si>
    <t>英雄聯盟腳色</t>
    <phoneticPr fontId="1" type="noConversion"/>
  </si>
  <si>
    <t>鬥塔2腳色</t>
    <phoneticPr fontId="1" type="noConversion"/>
  </si>
  <si>
    <t>原創腳色</t>
    <phoneticPr fontId="1" type="noConversion"/>
  </si>
  <si>
    <t>普通攻擊</t>
    <phoneticPr fontId="1" type="noConversion"/>
  </si>
  <si>
    <t>彈射</t>
    <phoneticPr fontId="1" type="noConversion"/>
  </si>
  <si>
    <t>槍林彈雨</t>
    <phoneticPr fontId="1" type="noConversion"/>
  </si>
  <si>
    <t>彈幕</t>
    <phoneticPr fontId="1" type="noConversion"/>
  </si>
  <si>
    <t>RTP</t>
    <phoneticPr fontId="1" type="noConversion"/>
  </si>
  <si>
    <t>期望值</t>
    <phoneticPr fontId="1" type="noConversion"/>
  </si>
  <si>
    <t>動作</t>
    <phoneticPr fontId="1" type="noConversion"/>
  </si>
  <si>
    <t>Voice</t>
    <phoneticPr fontId="1" type="noConversion"/>
  </si>
  <si>
    <t>語音</t>
    <phoneticPr fontId="1" type="noConversion"/>
  </si>
  <si>
    <t>5,10</t>
    <phoneticPr fontId="1" type="noConversion"/>
  </si>
  <si>
    <t>等級門檻</t>
    <phoneticPr fontId="1" type="noConversion"/>
  </si>
  <si>
    <t>Threshold</t>
    <phoneticPr fontId="1" type="noConversion"/>
  </si>
  <si>
    <t>attack1,attack2</t>
    <phoneticPr fontId="1" type="noConversion"/>
  </si>
  <si>
    <t>spell1</t>
    <phoneticPr fontId="1" type="noConversion"/>
  </si>
  <si>
    <t>spell3</t>
    <phoneticPr fontId="1" type="noConversion"/>
  </si>
  <si>
    <t>spell4</t>
    <phoneticPr fontId="1" type="noConversion"/>
  </si>
  <si>
    <t>RoleCategory</t>
    <phoneticPr fontId="1" type="noConversion"/>
  </si>
  <si>
    <t>MissFortune</t>
    <phoneticPr fontId="1" type="noConversion"/>
  </si>
  <si>
    <t>好運姊</t>
    <phoneticPr fontId="1" type="noConversion"/>
  </si>
  <si>
    <t>伊澤瑞爾</t>
  </si>
  <si>
    <t>伊澤瑞爾</t>
    <phoneticPr fontId="1" type="noConversion"/>
  </si>
  <si>
    <t>吉茵珂絲</t>
    <phoneticPr fontId="1" type="noConversion"/>
  </si>
  <si>
    <t>拉克斯</t>
    <phoneticPr fontId="1" type="noConversion"/>
  </si>
  <si>
    <t>布蘭德</t>
  </si>
  <si>
    <t>布蘭德</t>
    <phoneticPr fontId="1" type="noConversion"/>
  </si>
  <si>
    <t>阿璃</t>
  </si>
  <si>
    <t>阿璃</t>
    <phoneticPr fontId="1" type="noConversion"/>
  </si>
  <si>
    <t>米拉娜</t>
    <phoneticPr fontId="1" type="noConversion"/>
  </si>
  <si>
    <t>蝙蝠骑士</t>
    <phoneticPr fontId="1" type="noConversion"/>
  </si>
  <si>
    <t>哈斯卡</t>
    <phoneticPr fontId="1" type="noConversion"/>
  </si>
  <si>
    <t>卓尔游侠</t>
  </si>
  <si>
    <t>卓尔游侠</t>
    <phoneticPr fontId="1" type="noConversion"/>
  </si>
  <si>
    <t>暗影恶魔</t>
  </si>
  <si>
    <t>暗影恶魔</t>
    <phoneticPr fontId="1" type="noConversion"/>
  </si>
  <si>
    <t>凤凰</t>
    <phoneticPr fontId="1" type="noConversion"/>
  </si>
  <si>
    <t>DOTA2</t>
  </si>
  <si>
    <t>LOL(射手)</t>
  </si>
  <si>
    <t>LOL(法師)</t>
  </si>
  <si>
    <t>DOTA2(敏)</t>
  </si>
  <si>
    <t>DOTA2(智)</t>
  </si>
  <si>
    <t>DOTA2(力)</t>
  </si>
  <si>
    <t>Ezreal</t>
    <phoneticPr fontId="1" type="noConversion"/>
  </si>
  <si>
    <t>Jinx</t>
    <phoneticPr fontId="1" type="noConversion"/>
  </si>
  <si>
    <t>Lux</t>
    <phoneticPr fontId="1" type="noConversion"/>
  </si>
  <si>
    <t>Brand</t>
    <phoneticPr fontId="1" type="noConversion"/>
  </si>
  <si>
    <t>Ahri</t>
    <phoneticPr fontId="1" type="noConversion"/>
  </si>
  <si>
    <t>Mirana</t>
    <phoneticPr fontId="1" type="noConversion"/>
  </si>
  <si>
    <t>DrawRanger</t>
    <phoneticPr fontId="1" type="noConversion"/>
  </si>
  <si>
    <t>BatRider</t>
    <phoneticPr fontId="1" type="noConversion"/>
  </si>
  <si>
    <t>ShadowDemon</t>
    <phoneticPr fontId="1" type="noConversion"/>
  </si>
  <si>
    <t>Phoenix</t>
    <phoneticPr fontId="1" type="noConversion"/>
  </si>
  <si>
    <t>Huskar</t>
    <phoneticPr fontId="1" type="noConversion"/>
  </si>
  <si>
    <t>祕術射擊</t>
    <phoneticPr fontId="1" type="noConversion"/>
  </si>
  <si>
    <t>精華躍動</t>
    <phoneticPr fontId="1" type="noConversion"/>
  </si>
  <si>
    <t>精準彈幕</t>
    <phoneticPr fontId="1" type="noConversion"/>
  </si>
  <si>
    <t>咻咻</t>
    <phoneticPr fontId="1" type="noConversion"/>
  </si>
  <si>
    <t>惡鯊</t>
    <phoneticPr fontId="1" type="noConversion"/>
  </si>
  <si>
    <t>超威能死亡火箭</t>
    <phoneticPr fontId="1" type="noConversion"/>
  </si>
  <si>
    <t>光明束縛</t>
    <phoneticPr fontId="1" type="noConversion"/>
  </si>
  <si>
    <t>光明異點</t>
    <phoneticPr fontId="1" type="noConversion"/>
  </si>
  <si>
    <t>終極閃光</t>
    <phoneticPr fontId="1" type="noConversion"/>
  </si>
  <si>
    <t>天火燎原</t>
    <phoneticPr fontId="1" type="noConversion"/>
  </si>
  <si>
    <t>煉獄風暴</t>
    <phoneticPr fontId="1" type="noConversion"/>
  </si>
  <si>
    <t>末日熔岩</t>
    <phoneticPr fontId="1" type="noConversion"/>
  </si>
  <si>
    <t>幻玉</t>
    <phoneticPr fontId="1" type="noConversion"/>
  </si>
  <si>
    <t>魅火</t>
    <phoneticPr fontId="1" type="noConversion"/>
  </si>
  <si>
    <t>飛仙</t>
    <phoneticPr fontId="1" type="noConversion"/>
  </si>
  <si>
    <t>群星風暴</t>
    <phoneticPr fontId="1" type="noConversion"/>
  </si>
  <si>
    <t>月神之箭</t>
    <phoneticPr fontId="1" type="noConversion"/>
  </si>
  <si>
    <t>跳躍</t>
    <phoneticPr fontId="1" type="noConversion"/>
  </si>
  <si>
    <t>冰霜之箭</t>
    <phoneticPr fontId="1" type="noConversion"/>
  </si>
  <si>
    <t>靜默狂風</t>
    <phoneticPr fontId="1" type="noConversion"/>
  </si>
  <si>
    <t>多重矢</t>
    <phoneticPr fontId="1" type="noConversion"/>
  </si>
  <si>
    <t>粘性燃油</t>
    <phoneticPr fontId="1" type="noConversion"/>
  </si>
  <si>
    <t>烈焰破擊</t>
    <phoneticPr fontId="1" type="noConversion"/>
  </si>
  <si>
    <t>燃燒枷鎖</t>
    <phoneticPr fontId="1" type="noConversion"/>
  </si>
  <si>
    <t>靈魂獵手</t>
    <phoneticPr fontId="1" type="noConversion"/>
  </si>
  <si>
    <t>暗影劇毒</t>
    <phoneticPr fontId="1" type="noConversion"/>
  </si>
  <si>
    <t>邪惡淨化</t>
    <phoneticPr fontId="1" type="noConversion"/>
  </si>
  <si>
    <t>心炎</t>
    <phoneticPr fontId="1" type="noConversion"/>
  </si>
  <si>
    <t>沸血之矛</t>
    <phoneticPr fontId="1" type="noConversion"/>
  </si>
  <si>
    <t>犧牲</t>
    <phoneticPr fontId="1" type="noConversion"/>
  </si>
  <si>
    <t>烈日炙烤</t>
    <phoneticPr fontId="1" type="noConversion"/>
  </si>
  <si>
    <t>超新星</t>
    <phoneticPr fontId="1" type="noConversion"/>
  </si>
  <si>
    <t>耗能</t>
    <phoneticPr fontId="1" type="noConversion"/>
  </si>
  <si>
    <t>冷卻</t>
    <phoneticPr fontId="1" type="noConversion"/>
  </si>
  <si>
    <t>CD</t>
    <phoneticPr fontId="1" type="noConversion"/>
  </si>
  <si>
    <t>Cost</t>
    <phoneticPr fontId="1" type="noConversion"/>
  </si>
  <si>
    <t>Chain</t>
    <phoneticPr fontId="1" type="noConversion"/>
  </si>
  <si>
    <t>波數</t>
    <phoneticPr fontId="1" type="noConversion"/>
  </si>
  <si>
    <t>Waves</t>
    <phoneticPr fontId="1" type="noConversion"/>
  </si>
  <si>
    <t>烈火精靈</t>
    <phoneticPr fontId="1" type="noConversion"/>
  </si>
  <si>
    <t>EXP</t>
    <phoneticPr fontId="1" type="noConversion"/>
  </si>
  <si>
    <t>經驗值</t>
    <phoneticPr fontId="1" type="noConversion"/>
  </si>
  <si>
    <t>狙擊手</t>
    <phoneticPr fontId="1" type="noConversion"/>
  </si>
  <si>
    <t>DOTA2(力)</t>
    <phoneticPr fontId="1" type="noConversion"/>
  </si>
  <si>
    <t>DOTA2(敏)</t>
    <phoneticPr fontId="1" type="noConversion"/>
  </si>
  <si>
    <t>Sniper</t>
    <phoneticPr fontId="1" type="noConversion"/>
  </si>
  <si>
    <t>榴霰弹</t>
    <phoneticPr fontId="1" type="noConversion"/>
  </si>
  <si>
    <t>震荡手雷</t>
    <phoneticPr fontId="1" type="noConversion"/>
  </si>
  <si>
    <t>暗杀</t>
    <phoneticPr fontId="1" type="noConversion"/>
  </si>
  <si>
    <t>DOTA2(智)</t>
    <phoneticPr fontId="1" type="noConversion"/>
  </si>
  <si>
    <t>萊恩</t>
    <phoneticPr fontId="1" type="noConversion"/>
  </si>
  <si>
    <t>裂地尖刺</t>
    <phoneticPr fontId="1" type="noConversion"/>
  </si>
  <si>
    <t>魔力吸取</t>
    <phoneticPr fontId="1" type="noConversion"/>
  </si>
  <si>
    <t>死亡之指</t>
    <phoneticPr fontId="1" type="noConversion"/>
  </si>
  <si>
    <t>巫醫</t>
    <phoneticPr fontId="1" type="noConversion"/>
  </si>
  <si>
    <t>Lion</t>
    <phoneticPr fontId="1" type="noConversion"/>
  </si>
  <si>
    <t>WitchDoctor</t>
    <phoneticPr fontId="1" type="noConversion"/>
  </si>
  <si>
    <t>麻痺藥劑</t>
    <phoneticPr fontId="1" type="noConversion"/>
  </si>
  <si>
    <t>詛咒</t>
    <phoneticPr fontId="1" type="noConversion"/>
  </si>
  <si>
    <t>死亡守衛</t>
    <phoneticPr fontId="1" type="noConversion"/>
  </si>
  <si>
    <t>影魔</t>
    <phoneticPr fontId="1" type="noConversion"/>
  </si>
  <si>
    <t>毀滅陰影</t>
    <phoneticPr fontId="1" type="noConversion"/>
  </si>
  <si>
    <t>支配死靈</t>
    <phoneticPr fontId="1" type="noConversion"/>
  </si>
  <si>
    <t>靈魂輓歌</t>
    <phoneticPr fontId="1" type="noConversion"/>
  </si>
  <si>
    <t>沉默术士</t>
    <phoneticPr fontId="1" type="noConversion"/>
  </si>
  <si>
    <t>Silencer</t>
    <phoneticPr fontId="1" type="noConversion"/>
  </si>
  <si>
    <t>奥术诅咒</t>
    <phoneticPr fontId="1" type="noConversion"/>
  </si>
  <si>
    <t>智慧之刃</t>
    <phoneticPr fontId="1" type="noConversion"/>
  </si>
  <si>
    <t>遗言</t>
    <phoneticPr fontId="1" type="noConversion"/>
  </si>
  <si>
    <t>凱莎</t>
    <phoneticPr fontId="1" type="noConversion"/>
  </si>
  <si>
    <t>伊卡西亞魔雨</t>
    <phoneticPr fontId="1" type="noConversion"/>
  </si>
  <si>
    <t>虛空探索者</t>
    <phoneticPr fontId="1" type="noConversion"/>
  </si>
  <si>
    <t>電漿砲</t>
    <phoneticPr fontId="1" type="noConversion"/>
  </si>
  <si>
    <t>萬箭齊發</t>
    <phoneticPr fontId="1" type="noConversion"/>
  </si>
  <si>
    <t>艾希</t>
    <phoneticPr fontId="1" type="noConversion"/>
  </si>
  <si>
    <t>KAISA</t>
    <phoneticPr fontId="1" type="noConversion"/>
  </si>
  <si>
    <t>鷹擊長空</t>
    <phoneticPr fontId="1" type="noConversion"/>
  </si>
  <si>
    <t>魔法水晶箭</t>
    <phoneticPr fontId="1" type="noConversion"/>
  </si>
  <si>
    <t>19_1</t>
    <phoneticPr fontId="1" type="noConversion"/>
  </si>
  <si>
    <t>狂舞手雷</t>
    <phoneticPr fontId="1" type="noConversion"/>
  </si>
  <si>
    <t>燼</t>
    <phoneticPr fontId="1" type="noConversion"/>
  </si>
  <si>
    <t>LOL(射手)</t>
    <phoneticPr fontId="1" type="noConversion"/>
  </si>
  <si>
    <t>Jhin</t>
    <phoneticPr fontId="1" type="noConversion"/>
  </si>
  <si>
    <t>致命伏筆</t>
    <phoneticPr fontId="1" type="noConversion"/>
  </si>
  <si>
    <t>華麗謝幕</t>
    <phoneticPr fontId="1" type="noConversion"/>
  </si>
  <si>
    <t>\HeroFishing\Assets\AddressableAssets\Jsons\</t>
    <phoneticPr fontId="1" type="noConversion"/>
  </si>
  <si>
    <t>Ref</t>
    <phoneticPr fontId="1" type="noConversion"/>
  </si>
  <si>
    <t>參考</t>
    <phoneticPr fontId="1" type="noConversion"/>
  </si>
  <si>
    <t>SpellType</t>
    <phoneticPr fontId="1" type="noConversion"/>
  </si>
  <si>
    <t>Motions</t>
    <phoneticPr fontId="1" type="noConversion"/>
  </si>
  <si>
    <t>Explode</t>
  </si>
  <si>
    <t>19_2</t>
    <phoneticPr fontId="1" type="noConversion"/>
  </si>
  <si>
    <t>Texture</t>
    <phoneticPr fontId="1" type="noConversion"/>
  </si>
  <si>
    <t>Ashe</t>
    <phoneticPr fontId="1" type="noConversion"/>
  </si>
  <si>
    <t>Prefab</t>
    <phoneticPr fontId="1" type="noConversion"/>
  </si>
  <si>
    <t>物件</t>
    <phoneticPr fontId="1" type="noConversion"/>
  </si>
  <si>
    <t>待機動作</t>
    <phoneticPr fontId="1" type="noConversion"/>
  </si>
  <si>
    <t>IdleMotions</t>
    <phoneticPr fontId="1" type="noConversion"/>
  </si>
  <si>
    <t>idle1</t>
    <phoneticPr fontId="1" type="noConversion"/>
  </si>
  <si>
    <t>ashe</t>
    <phoneticPr fontId="1" type="noConversion"/>
  </si>
  <si>
    <t>19_attack</t>
    <phoneticPr fontId="1" type="noConversion"/>
  </si>
  <si>
    <t>19_spell1</t>
    <phoneticPr fontId="1" type="noConversion"/>
  </si>
  <si>
    <t>19_spell2</t>
    <phoneticPr fontId="1" type="noConversion"/>
  </si>
  <si>
    <t>19_spell3</t>
    <phoneticPr fontId="1" type="noConversion"/>
  </si>
  <si>
    <t>艾希_經典</t>
    <phoneticPr fontId="1" type="noConversion"/>
  </si>
  <si>
    <t>艾希_Skin1</t>
    <phoneticPr fontId="1" type="noConversion"/>
  </si>
  <si>
    <t>HitEffectValues</t>
    <phoneticPr fontId="1" type="noConversion"/>
  </si>
  <si>
    <t>命中效果</t>
    <phoneticPr fontId="1" type="noConversion"/>
  </si>
  <si>
    <t>命中效果參數</t>
    <phoneticPr fontId="1" type="noConversion"/>
  </si>
  <si>
    <t>HitEffectType</t>
    <phoneticPr fontId="1" type="noConversion"/>
  </si>
  <si>
    <t>LineShot</t>
    <phoneticPr fontId="1" type="noConversion"/>
  </si>
  <si>
    <t>SpreadLineShot</t>
    <phoneticPr fontId="1" type="noConversion"/>
  </si>
  <si>
    <t>施法類型</t>
    <phoneticPr fontId="1" type="noConversion"/>
  </si>
  <si>
    <t>施法參數</t>
    <phoneticPr fontId="1" type="noConversion"/>
  </si>
  <si>
    <t>SpellTypeValues</t>
    <phoneticPr fontId="1" type="noConversion"/>
  </si>
  <si>
    <t>PrefabID</t>
    <phoneticPr fontId="1" type="noConversion"/>
  </si>
  <si>
    <t>施法物件ID</t>
    <phoneticPr fontId="1" type="noConversion"/>
  </si>
  <si>
    <t>5,0.4,15,10,5,2</t>
    <phoneticPr fontId="1" type="noConversion"/>
  </si>
  <si>
    <t>1_1</t>
    <phoneticPr fontId="1" type="noConversion"/>
  </si>
  <si>
    <t>好運姊_經典</t>
    <phoneticPr fontId="1" type="noConversion"/>
  </si>
  <si>
    <t>missFortune</t>
    <phoneticPr fontId="1" type="noConversion"/>
  </si>
  <si>
    <t>1_attack</t>
    <phoneticPr fontId="1" type="noConversion"/>
  </si>
  <si>
    <t>1_spell1</t>
    <phoneticPr fontId="1" type="noConversion"/>
  </si>
  <si>
    <t>1_spell2</t>
    <phoneticPr fontId="1" type="noConversion"/>
  </si>
  <si>
    <t>1_spell3</t>
    <phoneticPr fontId="1" type="noConversion"/>
  </si>
  <si>
    <t>missFortune_t_classic</t>
    <phoneticPr fontId="1" type="noConversion"/>
  </si>
  <si>
    <t>ashe_t_skin1</t>
    <phoneticPr fontId="1" type="noConversion"/>
  </si>
  <si>
    <t>擊中shader設定</t>
    <phoneticPr fontId="1" type="noConversion"/>
  </si>
  <si>
    <t>191,35,12,255,6,1.2,1,-1.29,0</t>
    <phoneticPr fontId="1" type="noConversion"/>
  </si>
  <si>
    <t>HitMonsterShaderSetting</t>
    <phoneticPr fontId="1" type="noConversion"/>
  </si>
  <si>
    <t>191,35,12,255,3,1.2,1,-1.29,0</t>
    <phoneticPr fontId="1" type="noConversion"/>
  </si>
  <si>
    <t>7_attack</t>
    <phoneticPr fontId="1" type="noConversion"/>
  </si>
  <si>
    <t>7_spell1</t>
    <phoneticPr fontId="1" type="noConversion"/>
  </si>
  <si>
    <t>7_spell2</t>
    <phoneticPr fontId="1" type="noConversion"/>
  </si>
  <si>
    <t>7_spell3</t>
    <phoneticPr fontId="1" type="noConversion"/>
  </si>
  <si>
    <t>attack1</t>
    <phoneticPr fontId="1" type="noConversion"/>
  </si>
  <si>
    <t>ShadowFiend</t>
    <phoneticPr fontId="1" type="noConversion"/>
  </si>
  <si>
    <t>DestroyOnCollision</t>
    <phoneticPr fontId="1" type="noConversion"/>
  </si>
  <si>
    <t>打中即消失</t>
    <phoneticPr fontId="1" type="noConversion"/>
  </si>
  <si>
    <t>SubPrefabID</t>
    <phoneticPr fontId="1" type="noConversion"/>
  </si>
  <si>
    <t>額外PrefabID</t>
    <phoneticPr fontId="1" type="noConversion"/>
  </si>
  <si>
    <t>4, 0.6, 10, 2, 360, 3</t>
    <phoneticPr fontId="1" type="noConversion"/>
  </si>
  <si>
    <t>CircleArea</t>
    <phoneticPr fontId="1" type="noConversion"/>
  </si>
  <si>
    <t>DragType</t>
    <phoneticPr fontId="1" type="noConversion"/>
  </si>
  <si>
    <t>拖曳類型</t>
    <phoneticPr fontId="1" type="noConversion"/>
  </si>
  <si>
    <t>Rot</t>
    <phoneticPr fontId="1" type="noConversion"/>
  </si>
  <si>
    <t>Mov</t>
    <phoneticPr fontId="1" type="noConversion"/>
  </si>
  <si>
    <t>SectorArea</t>
    <phoneticPr fontId="1" type="noConversion"/>
  </si>
  <si>
    <t>2,0.8,4,0.5,0.75,2.2</t>
    <phoneticPr fontId="1" type="noConversion"/>
  </si>
  <si>
    <t>10,1,3,40</t>
    <phoneticPr fontId="1" type="noConversion"/>
  </si>
  <si>
    <t>命中數</t>
    <phoneticPr fontId="1" type="noConversion"/>
  </si>
  <si>
    <t>7_1</t>
    <phoneticPr fontId="1" type="noConversion"/>
  </si>
  <si>
    <t>米拉娜_經典</t>
    <phoneticPr fontId="1" type="noConversion"/>
  </si>
  <si>
    <t>Mirana</t>
  </si>
  <si>
    <t>ashe_classic</t>
    <phoneticPr fontId="1" type="noConversion"/>
  </si>
  <si>
    <t>5,0.4,15,2,0</t>
    <phoneticPr fontId="1" type="noConversion"/>
  </si>
  <si>
    <t>5,0.4,15,2,0.5</t>
    <phoneticPr fontId="1" type="noConversion"/>
  </si>
  <si>
    <t>MoveType</t>
    <phoneticPr fontId="1" type="noConversion"/>
  </si>
  <si>
    <t>移動類型</t>
    <phoneticPr fontId="1" type="noConversion"/>
  </si>
  <si>
    <t>MoveTypeValues</t>
    <phoneticPr fontId="1" type="noConversion"/>
  </si>
  <si>
    <t>移動參數</t>
    <phoneticPr fontId="1" type="noConversion"/>
  </si>
  <si>
    <t>Target</t>
    <phoneticPr fontId="1" type="noConversion"/>
  </si>
  <si>
    <t>WaveHits</t>
    <phoneticPr fontId="1" type="noConversion"/>
  </si>
  <si>
    <t>MaxHits</t>
    <phoneticPr fontId="1" type="noConversion"/>
  </si>
  <si>
    <t>最大命中數</t>
    <phoneticPr fontId="1" type="noConversion"/>
  </si>
  <si>
    <t>0,0.5,2,1</t>
    <phoneticPr fontId="1" type="noConversion"/>
  </si>
  <si>
    <t>2,1,2.3,0.3,1,0.05</t>
    <phoneticPr fontId="1" type="noConversion"/>
  </si>
  <si>
    <t>12,18,191,255,3,1.2,1,-1.29,0</t>
    <phoneticPr fontId="1" type="noConversion"/>
  </si>
  <si>
    <t>相機震動參數</t>
    <phoneticPr fontId="1" type="noConversion"/>
  </si>
  <si>
    <t>0,2,2,1.5</t>
    <phoneticPr fontId="1" type="noConversion"/>
  </si>
  <si>
    <t>0.5,2,2,1</t>
    <phoneticPr fontId="1" type="noConversion"/>
  </si>
  <si>
    <t>CameraShakeSettings</t>
    <phoneticPr fontId="1" type="noConversion"/>
  </si>
  <si>
    <t>HeroShaderSettings</t>
    <phoneticPr fontId="1" type="noConversion"/>
  </si>
  <si>
    <t>英雄shader設定</t>
    <phoneticPr fontId="1" type="noConversion"/>
  </si>
  <si>
    <t>68,82,191,255,0,9,21,191,255,4.6,1.8</t>
    <phoneticPr fontId="1" type="noConversion"/>
  </si>
  <si>
    <t>2,0.8,3.5,0.6,0.75,2</t>
    <phoneticPr fontId="1" type="noConversion"/>
  </si>
  <si>
    <t>Mirana_t_01</t>
    <phoneticPr fontId="1" type="noConversion"/>
  </si>
  <si>
    <t>..\..\HeroFishingServer\Realm\mymodule\JsonData\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</si>
</sst>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15">
    <xf numFmtId="0" fontId="0" fillId="0" borderId="0" xfId="0"/>
    <xf numFmtId="0" fontId="2" fillId="2" borderId="0" xfId="0" applyFont="1" applyFill="1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3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1" applyFont="1"/>
    <xf numFmtId="0" fontId="0" fillId="0" borderId="0" xfId="0" applyAlignment="1">
      <alignment horizontal="center" vertical="center" wrapText="1"/>
    </xf>
  </cellXfs>
  <cellStyles count="3">
    <cellStyle name="Excel Built-in Normal" xfId="2" xr:uid="{00000000-0005-0000-0000-000000000000}"/>
    <cellStyle name="一般" xfId="0" builtinId="0"/>
    <cellStyle name="一般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H26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D10" sqref="D10"/>
    </sheetView>
  </sheetViews>
  <sheetFormatPr defaultColWidth="10.42578125" defaultRowHeight="15.75"/>
  <cols>
    <col min="1" max="1" width="10.42578125" style="6"/>
    <col min="2" max="2" width="14.28515625" style="6" customWidth="1"/>
    <col min="3" max="3" width="15.7109375" style="6" customWidth="1"/>
    <col min="4" max="4" width="16.5703125" customWidth="1"/>
    <col min="5" max="5" width="15.140625" customWidth="1"/>
    <col min="6" max="6" width="16.5703125" customWidth="1"/>
  </cols>
  <sheetData>
    <row r="1" spans="1:8" s="7" customFormat="1">
      <c r="A1" s="7" t="s">
        <v>79</v>
      </c>
      <c r="B1" s="7" t="s">
        <v>84</v>
      </c>
      <c r="C1" s="7" t="s">
        <v>85</v>
      </c>
      <c r="D1" s="7" t="s">
        <v>86</v>
      </c>
      <c r="E1" s="7" t="s">
        <v>115</v>
      </c>
      <c r="F1" s="7" t="s">
        <v>248</v>
      </c>
    </row>
    <row r="2" spans="1:8" s="7" customFormat="1">
      <c r="A2" s="7" t="s">
        <v>80</v>
      </c>
      <c r="B2" s="7" t="s">
        <v>87</v>
      </c>
      <c r="C2" s="7" t="s">
        <v>88</v>
      </c>
      <c r="D2" s="7" t="s">
        <v>89</v>
      </c>
      <c r="E2" s="7" t="s">
        <v>91</v>
      </c>
      <c r="F2" s="7" t="s">
        <v>247</v>
      </c>
    </row>
    <row r="4" spans="1:8" s="6" customFormat="1">
      <c r="A4" s="6">
        <v>1</v>
      </c>
      <c r="B4" s="12" t="s">
        <v>117</v>
      </c>
      <c r="C4" s="6" t="s">
        <v>135</v>
      </c>
      <c r="D4" s="6" t="s">
        <v>116</v>
      </c>
      <c r="E4" s="6" t="s">
        <v>92</v>
      </c>
      <c r="F4" s="6" t="s">
        <v>249</v>
      </c>
    </row>
    <row r="5" spans="1:8" s="6" customFormat="1">
      <c r="A5" s="6">
        <v>2</v>
      </c>
      <c r="B5" s="12" t="s">
        <v>119</v>
      </c>
      <c r="C5" s="6" t="s">
        <v>135</v>
      </c>
      <c r="D5" s="6" t="s">
        <v>140</v>
      </c>
      <c r="E5" s="6" t="s">
        <v>92</v>
      </c>
      <c r="F5" s="6" t="s">
        <v>249</v>
      </c>
    </row>
    <row r="6" spans="1:8" s="6" customFormat="1">
      <c r="B6" s="12" t="s">
        <v>120</v>
      </c>
      <c r="C6" s="6" t="s">
        <v>135</v>
      </c>
      <c r="D6" s="6" t="s">
        <v>141</v>
      </c>
      <c r="E6" s="6" t="s">
        <v>92</v>
      </c>
      <c r="F6" s="6" t="s">
        <v>249</v>
      </c>
      <c r="G6" s="6">
        <v>3</v>
      </c>
    </row>
    <row r="7" spans="1:8" s="6" customFormat="1">
      <c r="A7" s="6">
        <v>4</v>
      </c>
      <c r="B7" s="12" t="s">
        <v>121</v>
      </c>
      <c r="C7" s="6" t="s">
        <v>136</v>
      </c>
      <c r="D7" s="6" t="s">
        <v>142</v>
      </c>
      <c r="E7" s="6" t="s">
        <v>92</v>
      </c>
      <c r="F7" s="6" t="s">
        <v>249</v>
      </c>
    </row>
    <row r="8" spans="1:8" s="6" customFormat="1">
      <c r="B8" s="12" t="s">
        <v>123</v>
      </c>
      <c r="C8" s="6" t="s">
        <v>136</v>
      </c>
      <c r="D8" s="6" t="s">
        <v>143</v>
      </c>
      <c r="E8" s="6" t="s">
        <v>92</v>
      </c>
      <c r="F8" s="6" t="s">
        <v>249</v>
      </c>
      <c r="G8" s="6">
        <v>5</v>
      </c>
    </row>
    <row r="9" spans="1:8" s="6" customFormat="1">
      <c r="B9" s="12" t="s">
        <v>125</v>
      </c>
      <c r="C9" s="6" t="s">
        <v>136</v>
      </c>
      <c r="D9" s="6" t="s">
        <v>144</v>
      </c>
      <c r="E9" s="6" t="s">
        <v>92</v>
      </c>
      <c r="F9" s="6" t="s">
        <v>249</v>
      </c>
      <c r="G9" s="6">
        <v>6</v>
      </c>
    </row>
    <row r="10" spans="1:8" s="6" customFormat="1">
      <c r="A10" s="6">
        <v>7</v>
      </c>
      <c r="B10" s="12" t="s">
        <v>126</v>
      </c>
      <c r="C10" s="6" t="s">
        <v>137</v>
      </c>
      <c r="D10" s="6" t="s">
        <v>145</v>
      </c>
      <c r="E10" s="6" t="s">
        <v>134</v>
      </c>
      <c r="F10" s="6" t="s">
        <v>249</v>
      </c>
      <c r="G10" s="6">
        <v>7</v>
      </c>
    </row>
    <row r="11" spans="1:8" s="6" customFormat="1">
      <c r="A11" s="6">
        <v>8</v>
      </c>
      <c r="B11" s="12" t="s">
        <v>130</v>
      </c>
      <c r="C11" s="6" t="s">
        <v>137</v>
      </c>
      <c r="D11" s="6" t="s">
        <v>146</v>
      </c>
      <c r="E11" s="6" t="s">
        <v>134</v>
      </c>
      <c r="F11" s="6" t="s">
        <v>249</v>
      </c>
    </row>
    <row r="12" spans="1:8" s="6" customFormat="1">
      <c r="B12" s="12" t="s">
        <v>127</v>
      </c>
      <c r="C12" s="6" t="s">
        <v>138</v>
      </c>
      <c r="D12" s="6" t="s">
        <v>147</v>
      </c>
      <c r="E12" s="6" t="s">
        <v>134</v>
      </c>
      <c r="F12" s="6" t="s">
        <v>249</v>
      </c>
      <c r="G12" s="6">
        <v>9</v>
      </c>
    </row>
    <row r="13" spans="1:8" s="6" customFormat="1">
      <c r="B13" s="12" t="s">
        <v>132</v>
      </c>
      <c r="C13" s="6" t="s">
        <v>138</v>
      </c>
      <c r="D13" s="6" t="s">
        <v>148</v>
      </c>
      <c r="E13" s="6" t="s">
        <v>134</v>
      </c>
      <c r="F13" s="6" t="s">
        <v>249</v>
      </c>
      <c r="G13" s="6">
        <v>10</v>
      </c>
    </row>
    <row r="14" spans="1:8" s="6" customFormat="1">
      <c r="B14" s="12" t="s">
        <v>128</v>
      </c>
      <c r="C14" s="6" t="s">
        <v>139</v>
      </c>
      <c r="D14" s="6" t="s">
        <v>150</v>
      </c>
      <c r="E14" s="6" t="s">
        <v>134</v>
      </c>
      <c r="F14" s="6" t="s">
        <v>249</v>
      </c>
      <c r="G14" s="6">
        <v>11</v>
      </c>
    </row>
    <row r="15" spans="1:8">
      <c r="B15" s="12" t="s">
        <v>133</v>
      </c>
      <c r="C15" s="6" t="s">
        <v>194</v>
      </c>
      <c r="D15" s="6" t="s">
        <v>149</v>
      </c>
      <c r="E15" s="6" t="s">
        <v>134</v>
      </c>
      <c r="F15" s="6" t="s">
        <v>249</v>
      </c>
      <c r="G15" s="6">
        <v>12</v>
      </c>
      <c r="H15" s="6"/>
    </row>
    <row r="16" spans="1:8" s="6" customFormat="1">
      <c r="A16" s="6">
        <v>13</v>
      </c>
      <c r="B16" s="12" t="s">
        <v>193</v>
      </c>
      <c r="C16" s="6" t="s">
        <v>195</v>
      </c>
      <c r="D16" s="6" t="s">
        <v>196</v>
      </c>
      <c r="E16" s="6" t="s">
        <v>134</v>
      </c>
      <c r="F16" s="6" t="s">
        <v>249</v>
      </c>
    </row>
    <row r="17" spans="1:6" s="6" customFormat="1">
      <c r="A17" s="6">
        <v>14</v>
      </c>
      <c r="B17" s="12" t="s">
        <v>201</v>
      </c>
      <c r="C17" s="6" t="s">
        <v>200</v>
      </c>
      <c r="D17" s="6" t="s">
        <v>206</v>
      </c>
      <c r="E17" s="6" t="s">
        <v>134</v>
      </c>
      <c r="F17" s="6" t="s">
        <v>249</v>
      </c>
    </row>
    <row r="18" spans="1:6" s="6" customFormat="1">
      <c r="A18" s="6">
        <v>15</v>
      </c>
      <c r="B18" s="12" t="s">
        <v>205</v>
      </c>
      <c r="C18" s="6" t="s">
        <v>200</v>
      </c>
      <c r="D18" s="6" t="s">
        <v>207</v>
      </c>
      <c r="E18" s="6" t="s">
        <v>134</v>
      </c>
      <c r="F18" s="6" t="s">
        <v>249</v>
      </c>
    </row>
    <row r="19" spans="1:6">
      <c r="A19" s="6">
        <v>16</v>
      </c>
      <c r="B19" s="12" t="s">
        <v>211</v>
      </c>
      <c r="C19" s="6" t="s">
        <v>200</v>
      </c>
      <c r="D19" s="6" t="s">
        <v>287</v>
      </c>
      <c r="E19" s="6" t="s">
        <v>134</v>
      </c>
      <c r="F19" s="6" t="s">
        <v>249</v>
      </c>
    </row>
    <row r="20" spans="1:6" s="6" customFormat="1">
      <c r="A20" s="6">
        <v>17</v>
      </c>
      <c r="B20" s="12" t="s">
        <v>215</v>
      </c>
      <c r="C20" s="6" t="s">
        <v>200</v>
      </c>
      <c r="D20" s="6" t="s">
        <v>216</v>
      </c>
      <c r="E20" s="6" t="s">
        <v>134</v>
      </c>
      <c r="F20" s="6" t="s">
        <v>249</v>
      </c>
    </row>
    <row r="21" spans="1:6" s="6" customFormat="1">
      <c r="A21" s="6">
        <v>18</v>
      </c>
      <c r="B21" s="12" t="s">
        <v>220</v>
      </c>
      <c r="C21" s="6" t="s">
        <v>232</v>
      </c>
      <c r="D21" s="6" t="s">
        <v>226</v>
      </c>
      <c r="E21" s="6" t="s">
        <v>92</v>
      </c>
      <c r="F21" s="6" t="s">
        <v>249</v>
      </c>
    </row>
    <row r="22" spans="1:6" s="6" customFormat="1">
      <c r="A22" s="6">
        <v>19</v>
      </c>
      <c r="B22" s="12" t="s">
        <v>225</v>
      </c>
      <c r="C22" s="6" t="s">
        <v>232</v>
      </c>
      <c r="D22" s="6" t="s">
        <v>244</v>
      </c>
      <c r="E22" s="6" t="s">
        <v>92</v>
      </c>
      <c r="F22" s="6" t="s">
        <v>249</v>
      </c>
    </row>
    <row r="23" spans="1:6" s="6" customFormat="1">
      <c r="A23" s="6">
        <v>20</v>
      </c>
      <c r="B23" s="12" t="s">
        <v>231</v>
      </c>
      <c r="C23" s="6" t="s">
        <v>232</v>
      </c>
      <c r="D23" s="6" t="s">
        <v>233</v>
      </c>
      <c r="E23" s="6" t="s">
        <v>92</v>
      </c>
      <c r="F23" s="6" t="s">
        <v>249</v>
      </c>
    </row>
    <row r="24" spans="1:6" s="6" customFormat="1">
      <c r="B24" s="12"/>
    </row>
    <row r="26" spans="1:6">
      <c r="A26" s="11" t="s">
        <v>83</v>
      </c>
    </row>
  </sheetData>
  <dataConsolidate/>
  <phoneticPr fontId="1" type="noConversion"/>
  <dataValidations count="1">
    <dataValidation type="list" allowBlank="1" showInputMessage="1" showErrorMessage="1" sqref="E3:E1048576" xr:uid="{FFB1A739-4EFB-4DEC-8F53-1D4AA14B9B9D}">
      <formula1>RoleCategory</formula1>
    </dataValidation>
  </dataValidations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2A9F3-9438-4D17-A813-A45C91189332}">
  <sheetPr codeName="工作表3"/>
  <dimension ref="A1:D10"/>
  <sheetViews>
    <sheetView workbookViewId="0">
      <selection activeCell="D5" sqref="D5"/>
    </sheetView>
  </sheetViews>
  <sheetFormatPr defaultColWidth="10.42578125" defaultRowHeight="15.75"/>
  <cols>
    <col min="1" max="1" width="10.42578125" style="6"/>
    <col min="2" max="2" width="11.85546875" style="6" customWidth="1"/>
    <col min="3" max="3" width="16.7109375" customWidth="1"/>
    <col min="4" max="4" width="21.140625" customWidth="1"/>
  </cols>
  <sheetData>
    <row r="1" spans="1:4" s="7" customFormat="1">
      <c r="A1" s="7" t="s">
        <v>79</v>
      </c>
      <c r="B1" s="7" t="s">
        <v>84</v>
      </c>
      <c r="C1" s="7" t="s">
        <v>245</v>
      </c>
      <c r="D1" s="7" t="s">
        <v>243</v>
      </c>
    </row>
    <row r="2" spans="1:4" s="7" customFormat="1">
      <c r="A2" s="7" t="s">
        <v>80</v>
      </c>
      <c r="B2" s="7" t="s">
        <v>87</v>
      </c>
      <c r="C2" s="7" t="s">
        <v>246</v>
      </c>
      <c r="D2" s="7" t="s">
        <v>238</v>
      </c>
    </row>
    <row r="4" spans="1:4" s="6" customFormat="1">
      <c r="A4" s="6" t="s">
        <v>269</v>
      </c>
      <c r="B4" s="12" t="s">
        <v>270</v>
      </c>
      <c r="C4" s="6" t="s">
        <v>271</v>
      </c>
      <c r="D4" s="6" t="s">
        <v>276</v>
      </c>
    </row>
    <row r="5" spans="1:4" s="6" customFormat="1">
      <c r="A5" s="6" t="s">
        <v>302</v>
      </c>
      <c r="B5" s="12" t="s">
        <v>303</v>
      </c>
      <c r="C5" s="6" t="s">
        <v>304</v>
      </c>
      <c r="D5" s="6" t="s">
        <v>327</v>
      </c>
    </row>
    <row r="7" spans="1:4" s="6" customFormat="1">
      <c r="A7" s="6" t="s">
        <v>229</v>
      </c>
      <c r="B7" s="12" t="s">
        <v>255</v>
      </c>
      <c r="C7" s="6" t="s">
        <v>250</v>
      </c>
      <c r="D7" s="6" t="s">
        <v>305</v>
      </c>
    </row>
    <row r="8" spans="1:4" s="6" customFormat="1">
      <c r="A8" s="6" t="s">
        <v>242</v>
      </c>
      <c r="B8" s="12" t="s">
        <v>256</v>
      </c>
      <c r="C8" s="6" t="s">
        <v>250</v>
      </c>
      <c r="D8" s="6" t="s">
        <v>277</v>
      </c>
    </row>
    <row r="10" spans="1:4">
      <c r="A10" s="11" t="s">
        <v>83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730E2B-3061-48C9-99B3-B3DFB8A0CE4A}">
  <sheetPr codeName="工作表2"/>
  <dimension ref="A1:Z125"/>
  <sheetViews>
    <sheetView tabSelected="1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E7" sqref="E7"/>
    </sheetView>
  </sheetViews>
  <sheetFormatPr defaultColWidth="10.42578125" defaultRowHeight="15.75"/>
  <cols>
    <col min="1" max="1" width="10.42578125" style="6"/>
    <col min="2" max="2" width="18" style="6" customWidth="1"/>
    <col min="3" max="3" width="24.42578125" style="6" customWidth="1"/>
    <col min="4" max="4" width="12.7109375" customWidth="1"/>
    <col min="6" max="6" width="6.5703125" customWidth="1"/>
    <col min="7" max="7" width="7.85546875" customWidth="1"/>
    <col min="8" max="8" width="10.28515625" customWidth="1"/>
    <col min="9" max="9" width="9.42578125" customWidth="1"/>
    <col min="10" max="10" width="13.140625" customWidth="1"/>
    <col min="11" max="11" width="12.7109375" customWidth="1"/>
    <col min="12" max="12" width="15" customWidth="1"/>
    <col min="13" max="13" width="20.28515625" customWidth="1"/>
    <col min="14" max="14" width="19.140625" customWidth="1"/>
    <col min="15" max="15" width="15" customWidth="1"/>
    <col min="16" max="16" width="17.28515625" customWidth="1"/>
    <col min="17" max="17" width="18" customWidth="1"/>
    <col min="18" max="18" width="19.140625" customWidth="1"/>
    <col min="19" max="19" width="14.140625" customWidth="1"/>
    <col min="22" max="23" width="15" customWidth="1"/>
    <col min="24" max="24" width="32.42578125" customWidth="1"/>
    <col min="25" max="25" width="28.140625" customWidth="1"/>
    <col min="26" max="26" width="34.140625" customWidth="1"/>
  </cols>
  <sheetData>
    <row r="1" spans="1:26" s="7" customFormat="1">
      <c r="A1" s="7" t="s">
        <v>79</v>
      </c>
      <c r="B1" s="7" t="s">
        <v>84</v>
      </c>
      <c r="C1" s="7" t="s">
        <v>85</v>
      </c>
      <c r="D1" s="7" t="s">
        <v>237</v>
      </c>
      <c r="E1" s="7" t="s">
        <v>103</v>
      </c>
      <c r="F1" s="7" t="s">
        <v>185</v>
      </c>
      <c r="G1" s="7" t="s">
        <v>186</v>
      </c>
      <c r="H1" s="7" t="s">
        <v>189</v>
      </c>
      <c r="I1" s="7" t="s">
        <v>313</v>
      </c>
      <c r="J1" s="7" t="s">
        <v>314</v>
      </c>
      <c r="K1" s="7" t="s">
        <v>294</v>
      </c>
      <c r="L1" s="7" t="s">
        <v>239</v>
      </c>
      <c r="M1" s="7" t="s">
        <v>288</v>
      </c>
      <c r="N1" s="7" t="s">
        <v>265</v>
      </c>
      <c r="O1" s="7" t="s">
        <v>260</v>
      </c>
      <c r="P1" s="7" t="s">
        <v>257</v>
      </c>
      <c r="Q1" s="7" t="s">
        <v>308</v>
      </c>
      <c r="R1" s="7" t="s">
        <v>310</v>
      </c>
      <c r="S1" s="7" t="s">
        <v>110</v>
      </c>
      <c r="T1" s="7" t="s">
        <v>240</v>
      </c>
      <c r="U1" s="7" t="s">
        <v>106</v>
      </c>
      <c r="V1" s="7" t="s">
        <v>266</v>
      </c>
      <c r="W1" s="7" t="s">
        <v>290</v>
      </c>
      <c r="X1" s="7" t="s">
        <v>280</v>
      </c>
      <c r="Y1" s="7" t="s">
        <v>322</v>
      </c>
      <c r="Z1" s="7" t="s">
        <v>323</v>
      </c>
    </row>
    <row r="2" spans="1:26" s="7" customFormat="1">
      <c r="A2" s="7" t="s">
        <v>80</v>
      </c>
      <c r="B2" s="7" t="s">
        <v>87</v>
      </c>
      <c r="C2" s="7" t="s">
        <v>88</v>
      </c>
      <c r="D2" s="7" t="s">
        <v>238</v>
      </c>
      <c r="E2" s="7" t="s">
        <v>104</v>
      </c>
      <c r="F2" s="7" t="s">
        <v>184</v>
      </c>
      <c r="G2" s="7" t="s">
        <v>183</v>
      </c>
      <c r="H2" s="7" t="s">
        <v>188</v>
      </c>
      <c r="I2" s="7" t="s">
        <v>301</v>
      </c>
      <c r="J2" s="7" t="s">
        <v>315</v>
      </c>
      <c r="K2" s="7" t="s">
        <v>295</v>
      </c>
      <c r="L2" s="7" t="s">
        <v>263</v>
      </c>
      <c r="M2" s="7" t="s">
        <v>289</v>
      </c>
      <c r="N2" s="7" t="s">
        <v>264</v>
      </c>
      <c r="O2" s="7" t="s">
        <v>258</v>
      </c>
      <c r="P2" s="7" t="s">
        <v>259</v>
      </c>
      <c r="Q2" s="7" t="s">
        <v>309</v>
      </c>
      <c r="R2" s="7" t="s">
        <v>311</v>
      </c>
      <c r="S2" s="7" t="s">
        <v>109</v>
      </c>
      <c r="T2" s="7" t="s">
        <v>105</v>
      </c>
      <c r="U2" s="7" t="s">
        <v>107</v>
      </c>
      <c r="V2" s="7" t="s">
        <v>267</v>
      </c>
      <c r="W2" s="7" t="s">
        <v>291</v>
      </c>
      <c r="X2" s="7" t="s">
        <v>278</v>
      </c>
      <c r="Y2" s="7" t="s">
        <v>319</v>
      </c>
      <c r="Z2" s="7" t="s">
        <v>324</v>
      </c>
    </row>
    <row r="3" spans="1:26">
      <c r="B3" s="12"/>
    </row>
    <row r="4" spans="1:26">
      <c r="B4" s="7" t="s">
        <v>90</v>
      </c>
    </row>
    <row r="5" spans="1:26" s="6" customFormat="1">
      <c r="A5" s="6" t="s">
        <v>272</v>
      </c>
      <c r="B5" s="12" t="s">
        <v>99</v>
      </c>
      <c r="D5" s="6" t="str">
        <f>A5</f>
        <v>1_attack</v>
      </c>
      <c r="F5" s="6">
        <v>1</v>
      </c>
      <c r="H5" s="6">
        <v>1</v>
      </c>
      <c r="I5" s="6">
        <v>1</v>
      </c>
      <c r="J5" s="6">
        <v>1</v>
      </c>
      <c r="L5" s="6" t="s">
        <v>261</v>
      </c>
      <c r="M5" s="6" t="b">
        <v>1</v>
      </c>
      <c r="N5" s="6" t="s">
        <v>306</v>
      </c>
      <c r="T5" s="6" t="s">
        <v>111</v>
      </c>
      <c r="V5" s="6">
        <v>10</v>
      </c>
      <c r="X5" s="14" t="s">
        <v>281</v>
      </c>
    </row>
    <row r="6" spans="1:26" s="6" customFormat="1">
      <c r="A6" s="6" t="s">
        <v>273</v>
      </c>
      <c r="B6" s="12" t="s">
        <v>100</v>
      </c>
      <c r="D6" s="6" t="str">
        <f>A6</f>
        <v>1_spell1</v>
      </c>
      <c r="E6" s="6">
        <v>15</v>
      </c>
      <c r="F6" s="6">
        <v>5</v>
      </c>
      <c r="G6" s="6">
        <f>ROUND((E6/10)*(100/20),0)</f>
        <v>8</v>
      </c>
      <c r="H6" s="6">
        <v>1</v>
      </c>
      <c r="I6" s="6">
        <v>4</v>
      </c>
      <c r="J6" s="6">
        <v>4</v>
      </c>
      <c r="K6" s="6" t="s">
        <v>296</v>
      </c>
      <c r="L6" s="6" t="s">
        <v>261</v>
      </c>
      <c r="M6" s="6" t="b">
        <v>1</v>
      </c>
      <c r="N6" s="6" t="s">
        <v>306</v>
      </c>
      <c r="O6" s="6" t="s">
        <v>187</v>
      </c>
      <c r="P6" s="6" t="s">
        <v>292</v>
      </c>
      <c r="T6" s="6" t="s">
        <v>112</v>
      </c>
      <c r="V6" s="6">
        <v>11</v>
      </c>
      <c r="W6" s="6">
        <v>1</v>
      </c>
      <c r="X6" s="14" t="s">
        <v>281</v>
      </c>
    </row>
    <row r="7" spans="1:26" s="6" customFormat="1">
      <c r="A7" s="6" t="s">
        <v>274</v>
      </c>
      <c r="B7" s="12" t="s">
        <v>101</v>
      </c>
      <c r="D7" s="6" t="str">
        <f>A7</f>
        <v>1_spell2</v>
      </c>
      <c r="E7" s="6">
        <v>30</v>
      </c>
      <c r="F7" s="6">
        <v>5</v>
      </c>
      <c r="G7" s="6">
        <f>ROUND((E7/10)*(100/20),0)</f>
        <v>15</v>
      </c>
      <c r="H7" s="6">
        <v>5</v>
      </c>
      <c r="I7" s="6">
        <v>5</v>
      </c>
      <c r="J7" s="6">
        <v>25</v>
      </c>
      <c r="K7" s="6" t="s">
        <v>297</v>
      </c>
      <c r="L7" s="6" t="s">
        <v>293</v>
      </c>
      <c r="M7" s="6" t="b">
        <v>0</v>
      </c>
      <c r="N7" s="6" t="s">
        <v>299</v>
      </c>
      <c r="T7" s="6" t="s">
        <v>113</v>
      </c>
      <c r="V7" s="6">
        <v>12</v>
      </c>
      <c r="X7" s="14" t="s">
        <v>281</v>
      </c>
    </row>
    <row r="8" spans="1:26" s="6" customFormat="1">
      <c r="A8" s="6" t="s">
        <v>275</v>
      </c>
      <c r="B8" s="12" t="s">
        <v>102</v>
      </c>
      <c r="D8" s="6" t="str">
        <f>A8</f>
        <v>1_spell3</v>
      </c>
      <c r="E8" s="6">
        <v>120</v>
      </c>
      <c r="F8" s="6">
        <v>5</v>
      </c>
      <c r="G8" s="6">
        <f>ROUND((E8/10)*(100/20),0)</f>
        <v>60</v>
      </c>
      <c r="H8" s="6">
        <v>10</v>
      </c>
      <c r="I8" s="6">
        <v>10</v>
      </c>
      <c r="J8" s="6">
        <v>100</v>
      </c>
      <c r="K8" s="6" t="s">
        <v>296</v>
      </c>
      <c r="L8" s="6" t="s">
        <v>298</v>
      </c>
      <c r="M8" s="6" t="b">
        <v>0</v>
      </c>
      <c r="N8" s="6" t="s">
        <v>300</v>
      </c>
      <c r="S8" s="6" t="s">
        <v>108</v>
      </c>
      <c r="T8" s="6" t="s">
        <v>114</v>
      </c>
      <c r="V8" s="6">
        <v>13</v>
      </c>
      <c r="X8" s="14" t="s">
        <v>281</v>
      </c>
      <c r="Y8" s="6" t="s">
        <v>320</v>
      </c>
    </row>
    <row r="9" spans="1:26">
      <c r="B9" s="12"/>
      <c r="X9" s="6"/>
    </row>
    <row r="10" spans="1:26">
      <c r="B10" s="7" t="s">
        <v>118</v>
      </c>
      <c r="X10" s="6"/>
    </row>
    <row r="11" spans="1:26" s="6" customFormat="1">
      <c r="B11" s="12" t="s">
        <v>99</v>
      </c>
      <c r="D11" s="6">
        <f>A11</f>
        <v>0</v>
      </c>
      <c r="F11" s="6">
        <v>1</v>
      </c>
      <c r="T11" s="6" t="s">
        <v>111</v>
      </c>
    </row>
    <row r="12" spans="1:26" s="6" customFormat="1">
      <c r="B12" s="12" t="s">
        <v>151</v>
      </c>
      <c r="D12" s="6">
        <f>A12</f>
        <v>0</v>
      </c>
      <c r="E12" s="6">
        <v>15</v>
      </c>
      <c r="F12" s="6">
        <v>5</v>
      </c>
      <c r="G12" s="6">
        <f>ROUND((E12/10)*(100/20),0)</f>
        <v>8</v>
      </c>
      <c r="T12" s="6" t="s">
        <v>112</v>
      </c>
    </row>
    <row r="13" spans="1:26" s="6" customFormat="1">
      <c r="B13" s="12" t="s">
        <v>152</v>
      </c>
      <c r="D13" s="6">
        <f>A13</f>
        <v>0</v>
      </c>
      <c r="E13" s="6">
        <v>20</v>
      </c>
      <c r="F13" s="6">
        <v>5</v>
      </c>
      <c r="G13" s="6">
        <f>ROUND((E13/10)*(100/20),0)</f>
        <v>10</v>
      </c>
      <c r="T13" s="6" t="s">
        <v>113</v>
      </c>
    </row>
    <row r="14" spans="1:26" s="6" customFormat="1">
      <c r="B14" s="12" t="s">
        <v>153</v>
      </c>
      <c r="D14" s="6">
        <f>A14</f>
        <v>0</v>
      </c>
      <c r="E14" s="6">
        <v>80</v>
      </c>
      <c r="F14" s="6">
        <v>5</v>
      </c>
      <c r="G14" s="6">
        <f>ROUND((E14/10)*(100/20),0)</f>
        <v>40</v>
      </c>
      <c r="S14" s="6" t="s">
        <v>108</v>
      </c>
      <c r="T14" s="6" t="s">
        <v>114</v>
      </c>
    </row>
    <row r="15" spans="1:26" s="6" customFormat="1">
      <c r="B15" s="12"/>
    </row>
    <row r="16" spans="1:26">
      <c r="B16" s="7" t="s">
        <v>120</v>
      </c>
      <c r="F16" s="6"/>
      <c r="G16" s="6"/>
    </row>
    <row r="17" spans="2:20" s="6" customFormat="1">
      <c r="B17" s="12" t="s">
        <v>99</v>
      </c>
      <c r="D17" s="6">
        <f>A17</f>
        <v>0</v>
      </c>
      <c r="F17" s="6">
        <v>1</v>
      </c>
      <c r="T17" s="6" t="s">
        <v>111</v>
      </c>
    </row>
    <row r="18" spans="2:20" s="6" customFormat="1">
      <c r="B18" s="12" t="s">
        <v>155</v>
      </c>
      <c r="D18" s="6">
        <f>A18</f>
        <v>0</v>
      </c>
      <c r="E18" s="6">
        <v>10</v>
      </c>
      <c r="F18" s="6">
        <v>5</v>
      </c>
      <c r="G18" s="6">
        <f>ROUND((E18/10)*(100/20),0)</f>
        <v>5</v>
      </c>
      <c r="O18" s="6" t="s">
        <v>241</v>
      </c>
      <c r="P18" s="6">
        <v>30</v>
      </c>
      <c r="T18" s="6" t="s">
        <v>112</v>
      </c>
    </row>
    <row r="19" spans="2:20" s="6" customFormat="1">
      <c r="B19" s="12" t="s">
        <v>154</v>
      </c>
      <c r="D19" s="6">
        <f>A19</f>
        <v>0</v>
      </c>
      <c r="E19" s="6">
        <v>30</v>
      </c>
      <c r="F19" s="6">
        <v>5</v>
      </c>
      <c r="G19" s="6">
        <f>ROUND((E19/10)*(100/20),0)</f>
        <v>15</v>
      </c>
      <c r="T19" s="6" t="s">
        <v>113</v>
      </c>
    </row>
    <row r="20" spans="2:20" s="6" customFormat="1">
      <c r="B20" s="12" t="s">
        <v>156</v>
      </c>
      <c r="D20" s="6">
        <f>A20</f>
        <v>0</v>
      </c>
      <c r="E20" s="6">
        <v>100</v>
      </c>
      <c r="F20" s="6">
        <v>5</v>
      </c>
      <c r="G20" s="6">
        <f>ROUND((E20/10)*(100/20),0)</f>
        <v>50</v>
      </c>
      <c r="O20" s="6" t="s">
        <v>241</v>
      </c>
      <c r="P20" s="6">
        <v>50</v>
      </c>
      <c r="S20" s="6" t="s">
        <v>108</v>
      </c>
      <c r="T20" s="6" t="s">
        <v>114</v>
      </c>
    </row>
    <row r="21" spans="2:20" s="6" customFormat="1"/>
    <row r="22" spans="2:20">
      <c r="B22" s="7" t="s">
        <v>121</v>
      </c>
    </row>
    <row r="23" spans="2:20" s="6" customFormat="1">
      <c r="B23" s="12" t="s">
        <v>99</v>
      </c>
      <c r="D23" s="6">
        <f>A23</f>
        <v>0</v>
      </c>
      <c r="F23" s="6">
        <v>1</v>
      </c>
      <c r="T23" s="6" t="s">
        <v>111</v>
      </c>
    </row>
    <row r="24" spans="2:20" s="6" customFormat="1">
      <c r="B24" s="12" t="s">
        <v>157</v>
      </c>
      <c r="D24" s="6">
        <f>A24</f>
        <v>0</v>
      </c>
      <c r="E24" s="6">
        <v>20</v>
      </c>
      <c r="F24" s="6">
        <v>5</v>
      </c>
      <c r="G24" s="6">
        <f>ROUND((E24/10)*(100/20),0)</f>
        <v>10</v>
      </c>
      <c r="T24" s="6" t="s">
        <v>112</v>
      </c>
    </row>
    <row r="25" spans="2:20" s="6" customFormat="1">
      <c r="B25" s="12" t="s">
        <v>158</v>
      </c>
      <c r="D25" s="6">
        <f>A25</f>
        <v>0</v>
      </c>
      <c r="E25" s="6">
        <v>30</v>
      </c>
      <c r="F25" s="6">
        <v>5</v>
      </c>
      <c r="G25" s="6">
        <f>ROUND((E25/10)*(100/20),0)</f>
        <v>15</v>
      </c>
      <c r="T25" s="6" t="s">
        <v>113</v>
      </c>
    </row>
    <row r="26" spans="2:20" s="6" customFormat="1">
      <c r="B26" s="12" t="s">
        <v>159</v>
      </c>
      <c r="D26" s="6">
        <f>A26</f>
        <v>0</v>
      </c>
      <c r="E26" s="6">
        <v>100</v>
      </c>
      <c r="F26" s="6">
        <v>5</v>
      </c>
      <c r="G26" s="6">
        <f>ROUND((E26/10)*(100/20),0)</f>
        <v>50</v>
      </c>
      <c r="S26" s="6" t="s">
        <v>108</v>
      </c>
      <c r="T26" s="6" t="s">
        <v>114</v>
      </c>
    </row>
    <row r="27" spans="2:20" s="6" customFormat="1">
      <c r="B27" s="12"/>
    </row>
    <row r="28" spans="2:20">
      <c r="B28" s="7" t="s">
        <v>122</v>
      </c>
    </row>
    <row r="29" spans="2:20" s="6" customFormat="1">
      <c r="B29" s="12" t="s">
        <v>99</v>
      </c>
      <c r="D29" s="6">
        <f>A29</f>
        <v>0</v>
      </c>
      <c r="F29" s="6">
        <v>1</v>
      </c>
      <c r="T29" s="6" t="s">
        <v>111</v>
      </c>
    </row>
    <row r="30" spans="2:20" s="6" customFormat="1">
      <c r="B30" s="12" t="s">
        <v>160</v>
      </c>
      <c r="D30" s="6">
        <f>A30</f>
        <v>0</v>
      </c>
      <c r="E30" s="6">
        <v>20</v>
      </c>
      <c r="F30" s="6">
        <v>5</v>
      </c>
      <c r="G30" s="6">
        <f>ROUND((E30/10)*(100/20),0)</f>
        <v>10</v>
      </c>
      <c r="O30" s="6" t="s">
        <v>241</v>
      </c>
      <c r="P30" s="6">
        <v>30</v>
      </c>
      <c r="T30" s="6" t="s">
        <v>112</v>
      </c>
    </row>
    <row r="31" spans="2:20" s="6" customFormat="1">
      <c r="B31" s="12" t="s">
        <v>161</v>
      </c>
      <c r="D31" s="6">
        <f>A31</f>
        <v>0</v>
      </c>
      <c r="E31" s="6">
        <v>40</v>
      </c>
      <c r="F31" s="6">
        <v>5</v>
      </c>
      <c r="G31" s="6">
        <f>ROUND((E31/10)*(100/20),0)</f>
        <v>20</v>
      </c>
      <c r="T31" s="6" t="s">
        <v>113</v>
      </c>
    </row>
    <row r="32" spans="2:20" s="6" customFormat="1">
      <c r="B32" s="12" t="s">
        <v>162</v>
      </c>
      <c r="D32" s="6">
        <f>A32</f>
        <v>0</v>
      </c>
      <c r="E32" s="6">
        <v>90</v>
      </c>
      <c r="F32" s="6">
        <v>5</v>
      </c>
      <c r="G32" s="6">
        <f>ROUND((E32/10)*(100/20),0)</f>
        <v>45</v>
      </c>
      <c r="O32" s="6" t="s">
        <v>187</v>
      </c>
      <c r="P32" s="6">
        <v>5</v>
      </c>
      <c r="S32" s="6" t="s">
        <v>108</v>
      </c>
      <c r="T32" s="6" t="s">
        <v>114</v>
      </c>
    </row>
    <row r="33" spans="1:26" s="6" customFormat="1">
      <c r="B33" s="12"/>
    </row>
    <row r="34" spans="1:26">
      <c r="B34" s="7" t="s">
        <v>124</v>
      </c>
    </row>
    <row r="35" spans="1:26" s="6" customFormat="1">
      <c r="B35" s="12" t="s">
        <v>99</v>
      </c>
      <c r="D35" s="6">
        <f>A35</f>
        <v>0</v>
      </c>
      <c r="F35" s="6">
        <v>1</v>
      </c>
      <c r="T35" s="6" t="s">
        <v>111</v>
      </c>
    </row>
    <row r="36" spans="1:26" s="6" customFormat="1">
      <c r="B36" s="12" t="s">
        <v>163</v>
      </c>
      <c r="D36" s="6">
        <f>A36</f>
        <v>0</v>
      </c>
      <c r="E36" s="6">
        <v>15</v>
      </c>
      <c r="F36" s="6">
        <v>5</v>
      </c>
      <c r="G36" s="6">
        <f>ROUND((E36/10)*(100/20),0)</f>
        <v>8</v>
      </c>
      <c r="T36" s="6" t="s">
        <v>112</v>
      </c>
    </row>
    <row r="37" spans="1:26" s="6" customFormat="1">
      <c r="B37" s="12" t="s">
        <v>164</v>
      </c>
      <c r="D37" s="6">
        <f>A37</f>
        <v>0</v>
      </c>
      <c r="E37" s="6">
        <v>20</v>
      </c>
      <c r="F37" s="6">
        <v>5</v>
      </c>
      <c r="G37" s="6">
        <f>ROUND((E37/10)*(100/20),0)</f>
        <v>10</v>
      </c>
      <c r="T37" s="6" t="s">
        <v>113</v>
      </c>
    </row>
    <row r="38" spans="1:26" s="6" customFormat="1">
      <c r="B38" s="12" t="s">
        <v>165</v>
      </c>
      <c r="D38" s="6">
        <f>A38</f>
        <v>0</v>
      </c>
      <c r="E38" s="6">
        <v>80</v>
      </c>
      <c r="F38" s="6">
        <v>5</v>
      </c>
      <c r="G38" s="6">
        <f>ROUND((E38/10)*(100/20),0)</f>
        <v>40</v>
      </c>
      <c r="S38" s="6" t="s">
        <v>108</v>
      </c>
      <c r="T38" s="6" t="s">
        <v>114</v>
      </c>
    </row>
    <row r="39" spans="1:26" s="6" customFormat="1">
      <c r="B39" s="12"/>
    </row>
    <row r="40" spans="1:26">
      <c r="B40" s="7" t="s">
        <v>126</v>
      </c>
    </row>
    <row r="41" spans="1:26" s="6" customFormat="1">
      <c r="A41" s="6" t="s">
        <v>282</v>
      </c>
      <c r="B41" s="12" t="s">
        <v>99</v>
      </c>
      <c r="D41" s="6" t="str">
        <f>A41</f>
        <v>7_attack</v>
      </c>
      <c r="F41" s="6">
        <v>1</v>
      </c>
      <c r="L41" s="6" t="s">
        <v>261</v>
      </c>
      <c r="M41" s="6" t="b">
        <v>1</v>
      </c>
      <c r="N41" s="6" t="s">
        <v>306</v>
      </c>
      <c r="T41" s="6" t="s">
        <v>286</v>
      </c>
      <c r="V41" s="6">
        <v>70</v>
      </c>
      <c r="X41" s="14" t="s">
        <v>318</v>
      </c>
    </row>
    <row r="42" spans="1:26" s="6" customFormat="1">
      <c r="A42" s="6" t="s">
        <v>283</v>
      </c>
      <c r="B42" s="12" t="s">
        <v>166</v>
      </c>
      <c r="D42" s="6" t="str">
        <f>A42</f>
        <v>7_spell1</v>
      </c>
      <c r="E42" s="6">
        <v>15</v>
      </c>
      <c r="F42" s="6">
        <v>5</v>
      </c>
      <c r="G42" s="6">
        <f>ROUND((E42/10)*(100/20),0)</f>
        <v>8</v>
      </c>
      <c r="H42" s="6">
        <v>1</v>
      </c>
      <c r="K42" s="6" t="s">
        <v>297</v>
      </c>
      <c r="L42" s="6" t="s">
        <v>293</v>
      </c>
      <c r="M42" s="6" t="b">
        <v>0</v>
      </c>
      <c r="N42" s="6" t="s">
        <v>317</v>
      </c>
      <c r="T42" s="6" t="s">
        <v>112</v>
      </c>
      <c r="V42" s="6">
        <v>71</v>
      </c>
      <c r="X42" s="14" t="s">
        <v>318</v>
      </c>
    </row>
    <row r="43" spans="1:26" s="6" customFormat="1">
      <c r="A43" s="6" t="s">
        <v>284</v>
      </c>
      <c r="B43" s="12" t="s">
        <v>167</v>
      </c>
      <c r="D43" s="6" t="str">
        <f>A43</f>
        <v>7_spell2</v>
      </c>
      <c r="E43" s="6">
        <v>15</v>
      </c>
      <c r="F43" s="6">
        <v>5</v>
      </c>
      <c r="G43" s="6">
        <f>ROUND((E43/10)*(100/20),0)</f>
        <v>8</v>
      </c>
      <c r="K43" s="6" t="s">
        <v>296</v>
      </c>
      <c r="L43" s="6" t="s">
        <v>261</v>
      </c>
      <c r="M43" s="6" t="b">
        <v>0</v>
      </c>
      <c r="N43" s="6" t="s">
        <v>307</v>
      </c>
      <c r="T43" s="6" t="s">
        <v>113</v>
      </c>
      <c r="V43" s="6">
        <v>72</v>
      </c>
      <c r="X43" s="14" t="s">
        <v>318</v>
      </c>
    </row>
    <row r="44" spans="1:26" s="6" customFormat="1">
      <c r="A44" s="6" t="s">
        <v>285</v>
      </c>
      <c r="B44" s="12" t="s">
        <v>168</v>
      </c>
      <c r="D44" s="6" t="str">
        <f>A44</f>
        <v>7_spell3</v>
      </c>
      <c r="E44" s="6">
        <v>100</v>
      </c>
      <c r="F44" s="6">
        <v>5</v>
      </c>
      <c r="G44" s="6">
        <f>ROUND((E44/10)*(100/20),0)</f>
        <v>50</v>
      </c>
      <c r="H44" s="6">
        <v>10</v>
      </c>
      <c r="K44" s="6" t="s">
        <v>297</v>
      </c>
      <c r="L44" s="6" t="s">
        <v>293</v>
      </c>
      <c r="M44" s="6" t="b">
        <v>0</v>
      </c>
      <c r="N44" s="6" t="s">
        <v>326</v>
      </c>
      <c r="Q44" s="6" t="s">
        <v>312</v>
      </c>
      <c r="R44" s="6" t="s">
        <v>316</v>
      </c>
      <c r="S44" s="6" t="s">
        <v>108</v>
      </c>
      <c r="T44" s="6" t="s">
        <v>114</v>
      </c>
      <c r="V44" s="6">
        <v>73</v>
      </c>
      <c r="X44" s="14" t="s">
        <v>318</v>
      </c>
      <c r="Y44" s="6" t="s">
        <v>321</v>
      </c>
      <c r="Z44" s="6" t="s">
        <v>325</v>
      </c>
    </row>
    <row r="45" spans="1:26" s="6" customFormat="1">
      <c r="B45" s="12"/>
    </row>
    <row r="46" spans="1:26">
      <c r="B46" s="7" t="s">
        <v>129</v>
      </c>
      <c r="X46" s="6"/>
    </row>
    <row r="47" spans="1:26" s="6" customFormat="1">
      <c r="B47" s="12" t="s">
        <v>99</v>
      </c>
      <c r="D47" s="6">
        <f>A47</f>
        <v>0</v>
      </c>
      <c r="F47" s="6">
        <v>1</v>
      </c>
      <c r="T47" s="6" t="s">
        <v>111</v>
      </c>
    </row>
    <row r="48" spans="1:26" s="6" customFormat="1">
      <c r="B48" s="12" t="s">
        <v>169</v>
      </c>
      <c r="D48" s="6">
        <f>A48</f>
        <v>0</v>
      </c>
      <c r="E48" s="6">
        <v>10</v>
      </c>
      <c r="F48" s="6">
        <v>5</v>
      </c>
      <c r="G48" s="6">
        <f>ROUND((E48/10)*(100/20),0)</f>
        <v>5</v>
      </c>
      <c r="T48" s="6" t="s">
        <v>112</v>
      </c>
    </row>
    <row r="49" spans="2:20" s="6" customFormat="1">
      <c r="B49" s="12" t="s">
        <v>170</v>
      </c>
      <c r="D49" s="6">
        <f>A49</f>
        <v>0</v>
      </c>
      <c r="E49" s="6">
        <v>20</v>
      </c>
      <c r="F49" s="6">
        <v>5</v>
      </c>
      <c r="G49" s="6">
        <f>ROUND((E49/10)*(100/20),0)</f>
        <v>10</v>
      </c>
      <c r="T49" s="6" t="s">
        <v>113</v>
      </c>
    </row>
    <row r="50" spans="2:20" s="6" customFormat="1">
      <c r="B50" s="12" t="s">
        <v>171</v>
      </c>
      <c r="D50" s="6">
        <f>A50</f>
        <v>0</v>
      </c>
      <c r="E50" s="6">
        <v>100</v>
      </c>
      <c r="F50" s="6">
        <v>5</v>
      </c>
      <c r="G50" s="6">
        <f>ROUND((E50/10)*(100/20),0)</f>
        <v>50</v>
      </c>
      <c r="H50" s="6">
        <v>3</v>
      </c>
      <c r="I50" s="6">
        <v>3</v>
      </c>
      <c r="J50" s="6">
        <v>3</v>
      </c>
      <c r="S50" s="6" t="s">
        <v>108</v>
      </c>
      <c r="T50" s="6" t="s">
        <v>114</v>
      </c>
    </row>
    <row r="51" spans="2:20" s="6" customFormat="1">
      <c r="B51" s="12"/>
    </row>
    <row r="52" spans="2:20">
      <c r="B52" s="7" t="s">
        <v>127</v>
      </c>
    </row>
    <row r="53" spans="2:20" s="6" customFormat="1">
      <c r="B53" s="12" t="s">
        <v>99</v>
      </c>
      <c r="D53" s="6">
        <f>A53</f>
        <v>0</v>
      </c>
      <c r="F53" s="6">
        <v>1</v>
      </c>
      <c r="T53" s="6" t="s">
        <v>111</v>
      </c>
    </row>
    <row r="54" spans="2:20" s="6" customFormat="1">
      <c r="B54" s="12" t="s">
        <v>172</v>
      </c>
      <c r="D54" s="6">
        <f>A54</f>
        <v>0</v>
      </c>
      <c r="E54" s="6">
        <v>20</v>
      </c>
      <c r="F54" s="6">
        <v>5</v>
      </c>
      <c r="G54" s="6">
        <f>ROUND((E54/10)*(100/20),0)</f>
        <v>10</v>
      </c>
      <c r="T54" s="6" t="s">
        <v>112</v>
      </c>
    </row>
    <row r="55" spans="2:20" s="6" customFormat="1">
      <c r="B55" s="12" t="s">
        <v>173</v>
      </c>
      <c r="D55" s="6">
        <f>A55</f>
        <v>0</v>
      </c>
      <c r="E55" s="6">
        <v>30</v>
      </c>
      <c r="F55" s="6">
        <v>5</v>
      </c>
      <c r="G55" s="6">
        <f>ROUND((E55/10)*(100/20),0)</f>
        <v>15</v>
      </c>
      <c r="T55" s="6" t="s">
        <v>113</v>
      </c>
    </row>
    <row r="56" spans="2:20" s="6" customFormat="1">
      <c r="B56" s="12" t="s">
        <v>174</v>
      </c>
      <c r="D56" s="6">
        <f>A56</f>
        <v>0</v>
      </c>
      <c r="E56" s="6">
        <v>70</v>
      </c>
      <c r="F56" s="6">
        <v>5</v>
      </c>
      <c r="G56" s="6">
        <f>ROUND((E56/10)*(100/20),0)</f>
        <v>35</v>
      </c>
      <c r="S56" s="6" t="s">
        <v>108</v>
      </c>
      <c r="T56" s="6" t="s">
        <v>114</v>
      </c>
    </row>
    <row r="57" spans="2:20" s="6" customFormat="1">
      <c r="B57" s="12"/>
    </row>
    <row r="58" spans="2:20">
      <c r="B58" s="7" t="s">
        <v>131</v>
      </c>
    </row>
    <row r="59" spans="2:20" s="6" customFormat="1">
      <c r="B59" s="12" t="s">
        <v>99</v>
      </c>
      <c r="D59" s="6">
        <f>A59</f>
        <v>0</v>
      </c>
      <c r="F59" s="6">
        <v>1</v>
      </c>
      <c r="T59" s="6" t="s">
        <v>111</v>
      </c>
    </row>
    <row r="60" spans="2:20" s="6" customFormat="1">
      <c r="B60" s="12" t="s">
        <v>175</v>
      </c>
      <c r="D60" s="6">
        <f>A60</f>
        <v>0</v>
      </c>
      <c r="E60" s="6">
        <v>20</v>
      </c>
      <c r="F60" s="6">
        <v>5</v>
      </c>
      <c r="G60" s="6">
        <f>ROUND((E60/10)*(100/20),0)</f>
        <v>10</v>
      </c>
      <c r="T60" s="6" t="s">
        <v>112</v>
      </c>
    </row>
    <row r="61" spans="2:20" s="6" customFormat="1">
      <c r="B61" s="12" t="s">
        <v>176</v>
      </c>
      <c r="D61" s="6">
        <f>A61</f>
        <v>0</v>
      </c>
      <c r="E61" s="6">
        <v>30</v>
      </c>
      <c r="F61" s="6">
        <v>5</v>
      </c>
      <c r="G61" s="6">
        <f>ROUND((E61/10)*(100/20),0)</f>
        <v>15</v>
      </c>
      <c r="T61" s="6" t="s">
        <v>113</v>
      </c>
    </row>
    <row r="62" spans="2:20" s="6" customFormat="1">
      <c r="B62" s="12" t="s">
        <v>177</v>
      </c>
      <c r="D62" s="6">
        <f>A62</f>
        <v>0</v>
      </c>
      <c r="E62" s="6">
        <v>90</v>
      </c>
      <c r="F62" s="6">
        <v>5</v>
      </c>
      <c r="G62" s="6">
        <f>ROUND((E62/10)*(100/20),0)</f>
        <v>45</v>
      </c>
      <c r="S62" s="6" t="s">
        <v>108</v>
      </c>
      <c r="T62" s="6" t="s">
        <v>114</v>
      </c>
    </row>
    <row r="63" spans="2:20" s="6" customFormat="1">
      <c r="B63" s="12"/>
    </row>
    <row r="64" spans="2:20">
      <c r="B64" s="7" t="s">
        <v>128</v>
      </c>
    </row>
    <row r="65" spans="2:20" s="6" customFormat="1">
      <c r="B65" s="12" t="s">
        <v>99</v>
      </c>
      <c r="D65" s="6">
        <f>A65</f>
        <v>0</v>
      </c>
      <c r="F65" s="6">
        <v>1</v>
      </c>
      <c r="T65" s="6" t="s">
        <v>111</v>
      </c>
    </row>
    <row r="66" spans="2:20" s="6" customFormat="1">
      <c r="B66" s="12" t="s">
        <v>178</v>
      </c>
      <c r="D66" s="6">
        <f>A66</f>
        <v>0</v>
      </c>
      <c r="E66" s="6">
        <v>50</v>
      </c>
      <c r="F66" s="6">
        <v>5</v>
      </c>
      <c r="G66" s="6">
        <f>ROUND((E66/10)*(100/20),0)</f>
        <v>25</v>
      </c>
      <c r="T66" s="6" t="s">
        <v>112</v>
      </c>
    </row>
    <row r="67" spans="2:20" s="6" customFormat="1">
      <c r="B67" s="12" t="s">
        <v>179</v>
      </c>
      <c r="D67" s="6">
        <f>A67</f>
        <v>0</v>
      </c>
      <c r="E67" s="6">
        <v>15</v>
      </c>
      <c r="F67" s="6">
        <v>5</v>
      </c>
      <c r="G67" s="6">
        <f>ROUND((E67/10)*(100/20),0)</f>
        <v>8</v>
      </c>
      <c r="T67" s="6" t="s">
        <v>113</v>
      </c>
    </row>
    <row r="68" spans="2:20" s="6" customFormat="1">
      <c r="B68" s="12" t="s">
        <v>180</v>
      </c>
      <c r="D68" s="6">
        <f>A68</f>
        <v>0</v>
      </c>
      <c r="E68" s="6">
        <v>80</v>
      </c>
      <c r="F68" s="6">
        <v>5</v>
      </c>
      <c r="G68" s="6">
        <f>ROUND((E68/10)*(100/20),0)</f>
        <v>40</v>
      </c>
      <c r="S68" s="6" t="s">
        <v>108</v>
      </c>
      <c r="T68" s="6" t="s">
        <v>114</v>
      </c>
    </row>
    <row r="69" spans="2:20" s="6" customFormat="1">
      <c r="B69" s="12"/>
    </row>
    <row r="70" spans="2:20">
      <c r="B70" s="7" t="s">
        <v>133</v>
      </c>
    </row>
    <row r="71" spans="2:20" s="6" customFormat="1">
      <c r="B71" s="12" t="s">
        <v>99</v>
      </c>
      <c r="D71" s="6">
        <f>A71</f>
        <v>0</v>
      </c>
      <c r="F71" s="6">
        <v>1</v>
      </c>
      <c r="T71" s="6" t="s">
        <v>111</v>
      </c>
    </row>
    <row r="72" spans="2:20" s="6" customFormat="1">
      <c r="B72" s="12" t="s">
        <v>190</v>
      </c>
      <c r="D72" s="6">
        <f>A72</f>
        <v>0</v>
      </c>
      <c r="E72" s="6">
        <v>20</v>
      </c>
      <c r="F72" s="6">
        <v>5</v>
      </c>
      <c r="G72" s="6">
        <f>ROUND((E72/10)*(100/20),0)</f>
        <v>10</v>
      </c>
      <c r="T72" s="6" t="s">
        <v>112</v>
      </c>
    </row>
    <row r="73" spans="2:20" s="6" customFormat="1">
      <c r="B73" s="12" t="s">
        <v>181</v>
      </c>
      <c r="D73" s="6">
        <f>A73</f>
        <v>0</v>
      </c>
      <c r="E73" s="6">
        <v>50</v>
      </c>
      <c r="F73" s="6">
        <v>5</v>
      </c>
      <c r="G73" s="6">
        <f>ROUND((E73/10)*(100/20),0)</f>
        <v>25</v>
      </c>
      <c r="T73" s="6" t="s">
        <v>113</v>
      </c>
    </row>
    <row r="74" spans="2:20" s="6" customFormat="1">
      <c r="B74" s="12" t="s">
        <v>182</v>
      </c>
      <c r="D74" s="6">
        <f>A74</f>
        <v>0</v>
      </c>
      <c r="E74" s="6">
        <v>110</v>
      </c>
      <c r="F74" s="6">
        <v>5</v>
      </c>
      <c r="G74" s="6">
        <f>ROUND((E74/10)*(100/20),0)</f>
        <v>55</v>
      </c>
      <c r="S74" s="6" t="s">
        <v>108</v>
      </c>
      <c r="T74" s="6" t="s">
        <v>114</v>
      </c>
    </row>
    <row r="75" spans="2:20" s="6" customFormat="1">
      <c r="B75" s="12"/>
    </row>
    <row r="76" spans="2:20">
      <c r="B76" s="7" t="s">
        <v>193</v>
      </c>
    </row>
    <row r="77" spans="2:20" s="6" customFormat="1">
      <c r="B77" s="12" t="s">
        <v>99</v>
      </c>
      <c r="D77" s="6">
        <f>A77</f>
        <v>0</v>
      </c>
      <c r="F77" s="6">
        <v>1</v>
      </c>
      <c r="T77" s="6" t="s">
        <v>111</v>
      </c>
    </row>
    <row r="78" spans="2:20" s="6" customFormat="1">
      <c r="B78" s="12" t="s">
        <v>197</v>
      </c>
      <c r="D78" s="6">
        <f>A78</f>
        <v>0</v>
      </c>
      <c r="E78" s="6">
        <v>50</v>
      </c>
      <c r="F78" s="6">
        <v>5</v>
      </c>
      <c r="G78" s="6">
        <f>ROUND((E78/10)*(100/20),0)</f>
        <v>25</v>
      </c>
      <c r="T78" s="6" t="s">
        <v>112</v>
      </c>
    </row>
    <row r="79" spans="2:20" s="6" customFormat="1">
      <c r="B79" s="12" t="s">
        <v>198</v>
      </c>
      <c r="D79" s="6">
        <f>A79</f>
        <v>0</v>
      </c>
      <c r="E79" s="6">
        <v>40</v>
      </c>
      <c r="F79" s="6">
        <v>5</v>
      </c>
      <c r="G79" s="6">
        <f>ROUND((E79/10)*(100/20),0)</f>
        <v>20</v>
      </c>
      <c r="T79" s="6" t="s">
        <v>113</v>
      </c>
    </row>
    <row r="80" spans="2:20" s="6" customFormat="1">
      <c r="B80" s="12" t="s">
        <v>199</v>
      </c>
      <c r="D80" s="6">
        <f>A80</f>
        <v>0</v>
      </c>
      <c r="E80" s="6">
        <v>70</v>
      </c>
      <c r="F80" s="6">
        <v>5</v>
      </c>
      <c r="G80" s="6">
        <f>ROUND((E80/10)*(100/20),0)</f>
        <v>35</v>
      </c>
      <c r="S80" s="6" t="s">
        <v>108</v>
      </c>
      <c r="T80" s="6" t="s">
        <v>114</v>
      </c>
    </row>
    <row r="81" spans="2:20" s="6" customFormat="1">
      <c r="B81" s="12"/>
    </row>
    <row r="82" spans="2:20">
      <c r="B82" s="7" t="s">
        <v>201</v>
      </c>
    </row>
    <row r="83" spans="2:20" s="6" customFormat="1">
      <c r="B83" s="12" t="s">
        <v>99</v>
      </c>
      <c r="D83" s="6">
        <f>A83</f>
        <v>0</v>
      </c>
      <c r="F83" s="6">
        <v>1</v>
      </c>
      <c r="T83" s="6" t="s">
        <v>111</v>
      </c>
    </row>
    <row r="84" spans="2:20" s="6" customFormat="1">
      <c r="B84" s="12" t="s">
        <v>202</v>
      </c>
      <c r="D84" s="6">
        <f>A84</f>
        <v>0</v>
      </c>
      <c r="E84" s="6">
        <v>40</v>
      </c>
      <c r="F84" s="6">
        <v>5</v>
      </c>
      <c r="G84" s="6">
        <f>ROUND((E84/10)*(100/20),0)</f>
        <v>20</v>
      </c>
      <c r="T84" s="6" t="s">
        <v>112</v>
      </c>
    </row>
    <row r="85" spans="2:20" s="6" customFormat="1">
      <c r="B85" s="12" t="s">
        <v>203</v>
      </c>
      <c r="D85" s="6">
        <f>A85</f>
        <v>0</v>
      </c>
      <c r="E85" s="6">
        <v>50</v>
      </c>
      <c r="F85" s="6">
        <v>5</v>
      </c>
      <c r="G85" s="6">
        <f>ROUND((E85/10)*(100/20),0)</f>
        <v>25</v>
      </c>
      <c r="T85" s="6" t="s">
        <v>113</v>
      </c>
    </row>
    <row r="86" spans="2:20" s="6" customFormat="1">
      <c r="B86" s="12" t="s">
        <v>204</v>
      </c>
      <c r="D86" s="6">
        <f>A86</f>
        <v>0</v>
      </c>
      <c r="E86" s="6">
        <v>100</v>
      </c>
      <c r="F86" s="6">
        <v>5</v>
      </c>
      <c r="G86" s="6">
        <f>ROUND((E86/10)*(100/20),0)</f>
        <v>50</v>
      </c>
      <c r="S86" s="6" t="s">
        <v>108</v>
      </c>
      <c r="T86" s="6" t="s">
        <v>114</v>
      </c>
    </row>
    <row r="87" spans="2:20" s="6" customFormat="1">
      <c r="B87" s="12"/>
    </row>
    <row r="88" spans="2:20">
      <c r="B88" s="7" t="s">
        <v>205</v>
      </c>
    </row>
    <row r="89" spans="2:20" s="6" customFormat="1">
      <c r="B89" s="12" t="s">
        <v>99</v>
      </c>
      <c r="D89" s="6">
        <f>A89</f>
        <v>0</v>
      </c>
      <c r="F89" s="6">
        <v>1</v>
      </c>
      <c r="T89" s="6" t="s">
        <v>111</v>
      </c>
    </row>
    <row r="90" spans="2:20" s="6" customFormat="1">
      <c r="B90" s="12" t="s">
        <v>208</v>
      </c>
      <c r="D90" s="6">
        <f>A90</f>
        <v>0</v>
      </c>
      <c r="E90" s="6">
        <v>30</v>
      </c>
      <c r="F90" s="6">
        <v>5</v>
      </c>
      <c r="G90" s="6">
        <f>ROUND((E90/10)*(100/20),0)</f>
        <v>15</v>
      </c>
      <c r="O90" s="6" t="s">
        <v>187</v>
      </c>
      <c r="P90" s="6">
        <v>2</v>
      </c>
      <c r="T90" s="6" t="s">
        <v>112</v>
      </c>
    </row>
    <row r="91" spans="2:20" s="6" customFormat="1">
      <c r="B91" s="12" t="s">
        <v>209</v>
      </c>
      <c r="D91" s="6">
        <f>A91</f>
        <v>0</v>
      </c>
      <c r="E91" s="6">
        <v>50</v>
      </c>
      <c r="F91" s="6">
        <v>5</v>
      </c>
      <c r="G91" s="6">
        <f>ROUND((E91/10)*(100/20),0)</f>
        <v>25</v>
      </c>
      <c r="T91" s="6" t="s">
        <v>113</v>
      </c>
    </row>
    <row r="92" spans="2:20" s="6" customFormat="1">
      <c r="B92" s="12" t="s">
        <v>210</v>
      </c>
      <c r="D92" s="6">
        <f>A92</f>
        <v>0</v>
      </c>
      <c r="E92" s="6">
        <v>120</v>
      </c>
      <c r="F92" s="6">
        <v>5</v>
      </c>
      <c r="G92" s="6">
        <f>ROUND((E92/10)*(100/20),0)</f>
        <v>60</v>
      </c>
      <c r="S92" s="6" t="s">
        <v>108</v>
      </c>
      <c r="T92" s="6" t="s">
        <v>114</v>
      </c>
    </row>
    <row r="94" spans="2:20">
      <c r="B94" s="7" t="s">
        <v>211</v>
      </c>
    </row>
    <row r="95" spans="2:20" s="6" customFormat="1">
      <c r="B95" s="12" t="s">
        <v>99</v>
      </c>
      <c r="D95" s="6">
        <f>A95</f>
        <v>0</v>
      </c>
      <c r="F95" s="6">
        <v>1</v>
      </c>
      <c r="T95" s="6" t="s">
        <v>111</v>
      </c>
    </row>
    <row r="96" spans="2:20" s="6" customFormat="1">
      <c r="B96" s="12" t="s">
        <v>212</v>
      </c>
      <c r="D96" s="6">
        <f>A96</f>
        <v>0</v>
      </c>
      <c r="E96" s="6">
        <v>50</v>
      </c>
      <c r="F96" s="6">
        <v>5</v>
      </c>
      <c r="G96" s="6">
        <f>ROUND((E96/10)*(100/20),0)</f>
        <v>25</v>
      </c>
      <c r="T96" s="6" t="s">
        <v>112</v>
      </c>
    </row>
    <row r="97" spans="2:20" s="6" customFormat="1">
      <c r="B97" s="12" t="s">
        <v>213</v>
      </c>
      <c r="D97" s="6">
        <f>A97</f>
        <v>0</v>
      </c>
      <c r="E97" s="6">
        <v>20</v>
      </c>
      <c r="F97" s="6">
        <v>5</v>
      </c>
      <c r="G97" s="6">
        <f>ROUND((E97/10)*(100/20),0)</f>
        <v>10</v>
      </c>
      <c r="T97" s="6" t="s">
        <v>113</v>
      </c>
    </row>
    <row r="98" spans="2:20" s="6" customFormat="1">
      <c r="B98" s="12" t="s">
        <v>214</v>
      </c>
      <c r="D98" s="6">
        <f>A98</f>
        <v>0</v>
      </c>
      <c r="E98" s="6">
        <v>110</v>
      </c>
      <c r="F98" s="6">
        <v>5</v>
      </c>
      <c r="G98" s="6">
        <f>ROUND((E98/10)*(100/20),0)</f>
        <v>55</v>
      </c>
      <c r="S98" s="6" t="s">
        <v>108</v>
      </c>
      <c r="T98" s="6" t="s">
        <v>114</v>
      </c>
    </row>
    <row r="100" spans="2:20">
      <c r="B100" s="7" t="s">
        <v>215</v>
      </c>
    </row>
    <row r="101" spans="2:20" s="6" customFormat="1">
      <c r="B101" s="12" t="s">
        <v>99</v>
      </c>
      <c r="D101" s="6">
        <f>A101</f>
        <v>0</v>
      </c>
      <c r="F101" s="6">
        <v>1</v>
      </c>
      <c r="T101" s="6" t="s">
        <v>111</v>
      </c>
    </row>
    <row r="102" spans="2:20" s="6" customFormat="1">
      <c r="B102" s="12" t="s">
        <v>217</v>
      </c>
      <c r="D102" s="6">
        <f>A102</f>
        <v>0</v>
      </c>
      <c r="E102" s="6">
        <v>50</v>
      </c>
      <c r="F102" s="6">
        <v>5</v>
      </c>
      <c r="G102" s="6">
        <f>ROUND((E102/10)*(100/20),0)</f>
        <v>25</v>
      </c>
      <c r="T102" s="6" t="s">
        <v>112</v>
      </c>
    </row>
    <row r="103" spans="2:20" s="6" customFormat="1">
      <c r="B103" s="12" t="s">
        <v>218</v>
      </c>
      <c r="D103" s="6">
        <f>A103</f>
        <v>0</v>
      </c>
      <c r="E103" s="6">
        <v>40</v>
      </c>
      <c r="F103" s="6">
        <v>5</v>
      </c>
      <c r="G103" s="6">
        <f>ROUND((E103/10)*(100/20),0)</f>
        <v>20</v>
      </c>
      <c r="O103" s="6" t="s">
        <v>187</v>
      </c>
      <c r="P103" s="6">
        <v>3</v>
      </c>
      <c r="T103" s="6" t="s">
        <v>113</v>
      </c>
    </row>
    <row r="104" spans="2:20" s="6" customFormat="1">
      <c r="B104" s="12" t="s">
        <v>219</v>
      </c>
      <c r="D104" s="6">
        <f>A104</f>
        <v>0</v>
      </c>
      <c r="E104" s="6">
        <v>100</v>
      </c>
      <c r="F104" s="6">
        <v>5</v>
      </c>
      <c r="G104" s="6">
        <f>ROUND((E104/10)*(100/20),0)</f>
        <v>50</v>
      </c>
      <c r="S104" s="6" t="s">
        <v>108</v>
      </c>
      <c r="T104" s="6" t="s">
        <v>114</v>
      </c>
    </row>
    <row r="106" spans="2:20">
      <c r="B106" s="7" t="s">
        <v>220</v>
      </c>
    </row>
    <row r="107" spans="2:20" s="6" customFormat="1">
      <c r="B107" s="12" t="s">
        <v>99</v>
      </c>
      <c r="D107" s="6">
        <f>A107</f>
        <v>0</v>
      </c>
      <c r="F107" s="6">
        <v>1</v>
      </c>
      <c r="T107" s="6" t="s">
        <v>111</v>
      </c>
    </row>
    <row r="108" spans="2:20" s="6" customFormat="1">
      <c r="B108" s="12" t="s">
        <v>221</v>
      </c>
      <c r="D108" s="6">
        <f>A108</f>
        <v>0</v>
      </c>
      <c r="E108" s="6">
        <v>30</v>
      </c>
      <c r="F108" s="6">
        <v>5</v>
      </c>
      <c r="G108" s="6">
        <f>ROUND((E108/10)*(100/20),0)</f>
        <v>15</v>
      </c>
      <c r="T108" s="6" t="s">
        <v>112</v>
      </c>
    </row>
    <row r="109" spans="2:20" s="6" customFormat="1">
      <c r="B109" s="12" t="s">
        <v>222</v>
      </c>
      <c r="D109" s="6">
        <f>A109</f>
        <v>0</v>
      </c>
      <c r="E109" s="6">
        <v>40</v>
      </c>
      <c r="F109" s="6">
        <v>5</v>
      </c>
      <c r="G109" s="6">
        <f>ROUND((E109/10)*(100/20),0)</f>
        <v>20</v>
      </c>
      <c r="T109" s="6" t="s">
        <v>113</v>
      </c>
    </row>
    <row r="110" spans="2:20" s="6" customFormat="1">
      <c r="B110" s="12" t="s">
        <v>223</v>
      </c>
      <c r="D110" s="6">
        <f>A110</f>
        <v>0</v>
      </c>
      <c r="E110" s="6">
        <v>90</v>
      </c>
      <c r="F110" s="6">
        <v>5</v>
      </c>
      <c r="G110" s="6">
        <f>ROUND((E110/10)*(100/20),0)</f>
        <v>45</v>
      </c>
      <c r="S110" s="6" t="s">
        <v>108</v>
      </c>
      <c r="T110" s="6" t="s">
        <v>114</v>
      </c>
    </row>
    <row r="112" spans="2:20">
      <c r="B112" s="7" t="s">
        <v>225</v>
      </c>
    </row>
    <row r="113" spans="1:24" s="6" customFormat="1">
      <c r="A113" s="6" t="s">
        <v>251</v>
      </c>
      <c r="B113" s="12" t="s">
        <v>99</v>
      </c>
      <c r="D113" s="6" t="str">
        <f>A113</f>
        <v>19_attack</v>
      </c>
      <c r="F113" s="6">
        <v>1</v>
      </c>
      <c r="L113" s="6" t="s">
        <v>261</v>
      </c>
      <c r="M113" s="6" t="b">
        <v>1</v>
      </c>
      <c r="N113" s="6" t="s">
        <v>306</v>
      </c>
      <c r="T113" s="6" t="s">
        <v>111</v>
      </c>
      <c r="V113" s="6">
        <v>190</v>
      </c>
      <c r="X113" s="14" t="s">
        <v>279</v>
      </c>
    </row>
    <row r="114" spans="1:24" s="6" customFormat="1">
      <c r="A114" s="6" t="s">
        <v>252</v>
      </c>
      <c r="B114" s="12" t="s">
        <v>224</v>
      </c>
      <c r="D114" s="6" t="str">
        <f>A114</f>
        <v>19_spell1</v>
      </c>
      <c r="E114" s="6">
        <v>30</v>
      </c>
      <c r="F114" s="6">
        <v>5</v>
      </c>
      <c r="G114" s="6">
        <f>ROUND((E114/10)*(100/20),0)</f>
        <v>15</v>
      </c>
      <c r="L114" s="6" t="s">
        <v>262</v>
      </c>
      <c r="M114" s="6" t="b">
        <v>1</v>
      </c>
      <c r="N114" s="6" t="s">
        <v>268</v>
      </c>
      <c r="T114" s="6" t="s">
        <v>112</v>
      </c>
      <c r="V114" s="6">
        <v>190</v>
      </c>
      <c r="X114" s="14" t="s">
        <v>279</v>
      </c>
    </row>
    <row r="115" spans="1:24" s="6" customFormat="1">
      <c r="A115" s="6" t="s">
        <v>253</v>
      </c>
      <c r="B115" s="12" t="s">
        <v>227</v>
      </c>
      <c r="D115" s="6" t="str">
        <f>A115</f>
        <v>19_spell2</v>
      </c>
      <c r="E115" s="6">
        <v>50</v>
      </c>
      <c r="F115" s="6">
        <v>5</v>
      </c>
      <c r="G115" s="6">
        <f>ROUND((E115/10)*(100/20),0)</f>
        <v>25</v>
      </c>
      <c r="L115" s="6" t="s">
        <v>261</v>
      </c>
      <c r="M115" s="6" t="b">
        <v>0</v>
      </c>
      <c r="N115" s="6" t="s">
        <v>306</v>
      </c>
      <c r="T115" s="6" t="s">
        <v>113</v>
      </c>
      <c r="V115" s="6">
        <v>192</v>
      </c>
      <c r="X115" s="14" t="s">
        <v>279</v>
      </c>
    </row>
    <row r="116" spans="1:24" s="6" customFormat="1">
      <c r="A116" s="6" t="s">
        <v>254</v>
      </c>
      <c r="B116" s="12" t="s">
        <v>228</v>
      </c>
      <c r="D116" s="6" t="str">
        <f>A116</f>
        <v>19_spell3</v>
      </c>
      <c r="E116" s="6">
        <v>80</v>
      </c>
      <c r="F116" s="6">
        <v>5</v>
      </c>
      <c r="G116" s="6">
        <f>ROUND((E116/10)*(100/20),0)</f>
        <v>40</v>
      </c>
      <c r="L116" s="6" t="s">
        <v>261</v>
      </c>
      <c r="M116" s="6" t="b">
        <v>1</v>
      </c>
      <c r="N116" s="6" t="s">
        <v>306</v>
      </c>
      <c r="S116" s="6" t="s">
        <v>108</v>
      </c>
      <c r="T116" s="6" t="s">
        <v>114</v>
      </c>
      <c r="V116" s="6">
        <v>190</v>
      </c>
      <c r="X116" s="14" t="s">
        <v>279</v>
      </c>
    </row>
    <row r="117" spans="1:24">
      <c r="L117" s="6"/>
      <c r="M117" s="6"/>
      <c r="N117" s="6"/>
    </row>
    <row r="118" spans="1:24">
      <c r="B118" s="7" t="s">
        <v>231</v>
      </c>
    </row>
    <row r="119" spans="1:24" s="6" customFormat="1">
      <c r="B119" s="12" t="s">
        <v>99</v>
      </c>
      <c r="D119" s="6">
        <f>A119</f>
        <v>0</v>
      </c>
      <c r="F119" s="6">
        <v>1</v>
      </c>
      <c r="T119" s="6" t="s">
        <v>111</v>
      </c>
    </row>
    <row r="120" spans="1:24" s="6" customFormat="1">
      <c r="B120" s="12" t="s">
        <v>230</v>
      </c>
      <c r="D120" s="6">
        <f>A120</f>
        <v>0</v>
      </c>
      <c r="E120" s="6">
        <v>30</v>
      </c>
      <c r="F120" s="6">
        <v>5</v>
      </c>
      <c r="G120" s="6">
        <f>ROUND((E120/10)*(100/20),0)</f>
        <v>15</v>
      </c>
      <c r="O120" s="6" t="s">
        <v>187</v>
      </c>
      <c r="P120" s="6">
        <v>3</v>
      </c>
      <c r="T120" s="6" t="s">
        <v>112</v>
      </c>
    </row>
    <row r="121" spans="1:24" s="6" customFormat="1">
      <c r="B121" s="12" t="s">
        <v>234</v>
      </c>
      <c r="D121" s="6">
        <f>A121</f>
        <v>0</v>
      </c>
      <c r="E121" s="6">
        <v>40</v>
      </c>
      <c r="F121" s="6">
        <v>5</v>
      </c>
      <c r="G121" s="6">
        <f>ROUND((E121/10)*(100/20),0)</f>
        <v>20</v>
      </c>
      <c r="T121" s="6" t="s">
        <v>113</v>
      </c>
    </row>
    <row r="122" spans="1:24" s="6" customFormat="1">
      <c r="B122" s="12" t="s">
        <v>235</v>
      </c>
      <c r="D122" s="6">
        <f>A122</f>
        <v>0</v>
      </c>
      <c r="E122" s="6">
        <v>120</v>
      </c>
      <c r="F122" s="6">
        <v>5</v>
      </c>
      <c r="G122" s="6">
        <f>ROUND((E122/10)*(100/20),0)</f>
        <v>60</v>
      </c>
      <c r="H122" s="6">
        <v>4</v>
      </c>
      <c r="I122" s="6">
        <v>4</v>
      </c>
      <c r="J122" s="6">
        <v>4</v>
      </c>
      <c r="S122" s="6" t="s">
        <v>108</v>
      </c>
      <c r="T122" s="6" t="s">
        <v>114</v>
      </c>
    </row>
    <row r="125" spans="1:24">
      <c r="A125" s="11" t="s">
        <v>83</v>
      </c>
    </row>
  </sheetData>
  <phoneticPr fontId="1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580DB-1908-42C9-93B3-FBE915D2112D}">
  <sheetPr codeName="工作表5"/>
  <dimension ref="A1:D15"/>
  <sheetViews>
    <sheetView workbookViewId="0">
      <selection activeCell="B5" sqref="B5"/>
    </sheetView>
  </sheetViews>
  <sheetFormatPr defaultColWidth="10.42578125" defaultRowHeight="15.75"/>
  <cols>
    <col min="1" max="1" width="10.42578125" style="6"/>
    <col min="2" max="2" width="11.42578125" customWidth="1"/>
  </cols>
  <sheetData>
    <row r="1" spans="1:4" s="7" customFormat="1">
      <c r="A1" s="7" t="s">
        <v>79</v>
      </c>
      <c r="B1" s="7" t="s">
        <v>191</v>
      </c>
    </row>
    <row r="2" spans="1:4" s="7" customFormat="1">
      <c r="A2" s="7" t="s">
        <v>80</v>
      </c>
      <c r="B2" s="7" t="s">
        <v>192</v>
      </c>
    </row>
    <row r="4" spans="1:4" s="6" customFormat="1">
      <c r="A4" s="6">
        <v>1</v>
      </c>
      <c r="B4" s="6">
        <v>0</v>
      </c>
    </row>
    <row r="5" spans="1:4" s="6" customFormat="1">
      <c r="A5" s="6">
        <v>2</v>
      </c>
      <c r="B5" s="6">
        <v>100</v>
      </c>
    </row>
    <row r="6" spans="1:4" s="6" customFormat="1">
      <c r="A6" s="6">
        <v>3</v>
      </c>
      <c r="B6" s="6">
        <v>200</v>
      </c>
      <c r="D6" s="12"/>
    </row>
    <row r="7" spans="1:4" s="6" customFormat="1">
      <c r="A7" s="6">
        <v>4</v>
      </c>
      <c r="B7" s="6">
        <v>300</v>
      </c>
      <c r="D7" s="12"/>
    </row>
    <row r="8" spans="1:4">
      <c r="A8" s="6">
        <v>5</v>
      </c>
      <c r="B8" s="6">
        <v>400</v>
      </c>
      <c r="D8" s="6"/>
    </row>
    <row r="9" spans="1:4">
      <c r="A9" s="6">
        <v>6</v>
      </c>
      <c r="B9" s="6">
        <v>500</v>
      </c>
      <c r="D9" s="6"/>
    </row>
    <row r="10" spans="1:4" s="6" customFormat="1">
      <c r="A10" s="6">
        <v>7</v>
      </c>
      <c r="B10" s="6">
        <v>600</v>
      </c>
    </row>
    <row r="11" spans="1:4" s="6" customFormat="1">
      <c r="A11" s="6">
        <v>8</v>
      </c>
      <c r="B11" s="6">
        <v>700</v>
      </c>
    </row>
    <row r="12" spans="1:4" s="6" customFormat="1">
      <c r="A12" s="6">
        <v>9</v>
      </c>
      <c r="B12" s="6">
        <v>800</v>
      </c>
    </row>
    <row r="13" spans="1:4" s="6" customFormat="1">
      <c r="A13" s="6">
        <v>10</v>
      </c>
      <c r="B13" s="6">
        <v>900</v>
      </c>
    </row>
    <row r="15" spans="1:4">
      <c r="A15" s="11" t="s">
        <v>83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4"/>
  <dimension ref="A1:M76"/>
  <sheetViews>
    <sheetView zoomScaleNormal="100" workbookViewId="0">
      <selection activeCell="D16" sqref="D16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4" customFormat="1" ht="16.5">
      <c r="A1" s="3" t="s">
        <v>70</v>
      </c>
    </row>
    <row r="2" spans="1:4" ht="16.5">
      <c r="A2" s="5" t="s">
        <v>71</v>
      </c>
    </row>
    <row r="3" spans="1:4" ht="16.5">
      <c r="A3" s="5" t="s">
        <v>72</v>
      </c>
    </row>
    <row r="4" spans="1:4" ht="16.5">
      <c r="A4" s="5" t="s">
        <v>73</v>
      </c>
    </row>
    <row r="5" spans="1:4" ht="16.5">
      <c r="A5" s="5" t="s">
        <v>74</v>
      </c>
    </row>
    <row r="6" spans="1:4" ht="16.5">
      <c r="A6" s="5" t="s">
        <v>75</v>
      </c>
    </row>
    <row r="7" spans="1:4" ht="16.5">
      <c r="A7" s="5"/>
    </row>
    <row r="8" spans="1:4" ht="16.5">
      <c r="A8" s="5"/>
    </row>
    <row r="9" spans="1:4" s="1" customFormat="1">
      <c r="A9" s="1" t="s">
        <v>81</v>
      </c>
    </row>
    <row r="10" spans="1:4" s="1" customFormat="1">
      <c r="A10" s="1" t="s">
        <v>0</v>
      </c>
      <c r="B10" s="1" t="s">
        <v>78</v>
      </c>
      <c r="C10" s="1" t="s">
        <v>77</v>
      </c>
      <c r="D10" s="1" t="s">
        <v>76</v>
      </c>
    </row>
    <row r="12" spans="1:4">
      <c r="D12" s="9"/>
    </row>
    <row r="13" spans="1:4">
      <c r="D13" s="9"/>
    </row>
    <row r="15" spans="1:4">
      <c r="D15" s="9"/>
    </row>
    <row r="55" spans="1:13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>
      <c r="A59" s="8" t="s">
        <v>28</v>
      </c>
      <c r="B59" s="8" t="s">
        <v>37</v>
      </c>
      <c r="C59" s="8" t="s">
        <v>22</v>
      </c>
      <c r="D59" s="8" t="s">
        <v>52</v>
      </c>
    </row>
    <row r="60" spans="1:13">
      <c r="A60" s="8" t="s">
        <v>29</v>
      </c>
      <c r="B60" s="8" t="s">
        <v>1</v>
      </c>
      <c r="C60" s="8" t="s">
        <v>22</v>
      </c>
      <c r="D60" s="8" t="s">
        <v>53</v>
      </c>
    </row>
    <row r="61" spans="1:13">
      <c r="A61" s="8" t="s">
        <v>30</v>
      </c>
      <c r="B61" s="8" t="s">
        <v>2</v>
      </c>
      <c r="C61" s="8" t="s">
        <v>22</v>
      </c>
      <c r="D61" s="8" t="s">
        <v>54</v>
      </c>
    </row>
    <row r="62" spans="1:13">
      <c r="A62" s="8" t="s">
        <v>31</v>
      </c>
      <c r="B62" s="8" t="s">
        <v>3</v>
      </c>
      <c r="C62" s="8" t="s">
        <v>22</v>
      </c>
      <c r="D62" s="8" t="s">
        <v>55</v>
      </c>
    </row>
    <row r="63" spans="1:13">
      <c r="A63" s="8" t="s">
        <v>32</v>
      </c>
      <c r="B63" s="8" t="s">
        <v>4</v>
      </c>
      <c r="C63" s="8" t="s">
        <v>22</v>
      </c>
      <c r="D63" s="8" t="s">
        <v>56</v>
      </c>
    </row>
    <row r="64" spans="1:13">
      <c r="A64" s="8" t="s">
        <v>33</v>
      </c>
      <c r="B64" s="8" t="s">
        <v>5</v>
      </c>
      <c r="C64" s="8" t="s">
        <v>22</v>
      </c>
      <c r="D64" s="8" t="s">
        <v>57</v>
      </c>
    </row>
    <row r="65" spans="1:4">
      <c r="A65" s="8" t="s">
        <v>45</v>
      </c>
      <c r="B65" s="8" t="s">
        <v>38</v>
      </c>
      <c r="C65" s="8" t="s">
        <v>22</v>
      </c>
      <c r="D65" s="8" t="s">
        <v>58</v>
      </c>
    </row>
    <row r="66" spans="1:4">
      <c r="A66" s="8" t="s">
        <v>34</v>
      </c>
      <c r="B66" s="8" t="s">
        <v>39</v>
      </c>
      <c r="C66" s="8" t="s">
        <v>22</v>
      </c>
      <c r="D66" s="8" t="s">
        <v>59</v>
      </c>
    </row>
    <row r="67" spans="1:4">
      <c r="A67" s="8" t="s">
        <v>43</v>
      </c>
      <c r="B67" s="8" t="s">
        <v>6</v>
      </c>
      <c r="C67" s="8" t="s">
        <v>22</v>
      </c>
      <c r="D67" s="8" t="s">
        <v>60</v>
      </c>
    </row>
    <row r="68" spans="1:4">
      <c r="A68" s="8" t="s">
        <v>46</v>
      </c>
      <c r="B68" s="8" t="s">
        <v>35</v>
      </c>
      <c r="C68" s="8" t="s">
        <v>22</v>
      </c>
      <c r="D68" s="8" t="s">
        <v>61</v>
      </c>
    </row>
    <row r="69" spans="1:4">
      <c r="A69" s="8" t="s">
        <v>44</v>
      </c>
      <c r="B69" s="8" t="s">
        <v>7</v>
      </c>
      <c r="C69" s="8" t="s">
        <v>22</v>
      </c>
      <c r="D69" s="8" t="s">
        <v>62</v>
      </c>
    </row>
    <row r="70" spans="1:4">
      <c r="A70" s="8" t="s">
        <v>47</v>
      </c>
      <c r="B70" s="8" t="s">
        <v>36</v>
      </c>
      <c r="C70" s="8" t="s">
        <v>22</v>
      </c>
      <c r="D70" s="8" t="s">
        <v>63</v>
      </c>
    </row>
    <row r="71" spans="1:4">
      <c r="A71" s="8" t="s">
        <v>41</v>
      </c>
      <c r="B71" s="8" t="s">
        <v>8</v>
      </c>
      <c r="C71" s="8" t="s">
        <v>22</v>
      </c>
      <c r="D71" s="8" t="s">
        <v>64</v>
      </c>
    </row>
    <row r="72" spans="1:4">
      <c r="A72" s="8" t="s">
        <v>42</v>
      </c>
      <c r="B72" s="8" t="s">
        <v>27</v>
      </c>
      <c r="C72" s="8" t="s">
        <v>22</v>
      </c>
      <c r="D72" s="8" t="s">
        <v>65</v>
      </c>
    </row>
    <row r="73" spans="1:4">
      <c r="A73" s="8" t="s">
        <v>26</v>
      </c>
      <c r="B73" s="8" t="s">
        <v>9</v>
      </c>
      <c r="C73" s="8" t="s">
        <v>22</v>
      </c>
      <c r="D73" s="8" t="s">
        <v>66</v>
      </c>
    </row>
    <row r="74" spans="1:4">
      <c r="A74" s="8" t="s">
        <v>25</v>
      </c>
      <c r="B74" s="8" t="s">
        <v>40</v>
      </c>
      <c r="C74" s="8" t="s">
        <v>22</v>
      </c>
      <c r="D74" s="8" t="s">
        <v>67</v>
      </c>
    </row>
    <row r="75" spans="1:4">
      <c r="A75" s="8" t="s">
        <v>48</v>
      </c>
      <c r="B75" s="8" t="s">
        <v>10</v>
      </c>
      <c r="C75" s="8" t="s">
        <v>22</v>
      </c>
      <c r="D75" s="8" t="s">
        <v>68</v>
      </c>
    </row>
    <row r="76" spans="1:4">
      <c r="A76" s="8" t="s">
        <v>49</v>
      </c>
      <c r="B76" s="8" t="s">
        <v>11</v>
      </c>
      <c r="C76" s="8" t="s">
        <v>22</v>
      </c>
      <c r="D76" s="8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6"/>
  <dimension ref="A1:D15"/>
  <sheetViews>
    <sheetView workbookViewId="0">
      <selection activeCell="C5" sqref="C5"/>
    </sheetView>
  </sheetViews>
  <sheetFormatPr defaultRowHeight="15.75"/>
  <cols>
    <col min="1" max="1" width="19" customWidth="1"/>
    <col min="2" max="2" width="24.28515625" customWidth="1"/>
    <col min="3" max="3" width="17.140625" customWidth="1"/>
    <col min="4" max="4" width="21.7109375" customWidth="1"/>
  </cols>
  <sheetData>
    <row r="1" spans="1:4">
      <c r="A1" s="10" t="s">
        <v>82</v>
      </c>
      <c r="B1" s="13" t="s">
        <v>236</v>
      </c>
    </row>
    <row r="2" spans="1:4">
      <c r="A2" s="10" t="s">
        <v>82</v>
      </c>
      <c r="B2" s="13" t="s">
        <v>328</v>
      </c>
    </row>
    <row r="6" spans="1:4">
      <c r="A6" s="2"/>
    </row>
    <row r="9" spans="1:4" ht="16.5">
      <c r="A9" s="3" t="s">
        <v>115</v>
      </c>
      <c r="B9" s="3" t="s">
        <v>76</v>
      </c>
      <c r="C9" s="3"/>
      <c r="D9" s="3"/>
    </row>
    <row r="10" spans="1:4">
      <c r="A10" t="s">
        <v>93</v>
      </c>
      <c r="B10" s="9" t="s">
        <v>96</v>
      </c>
      <c r="D10" s="9"/>
    </row>
    <row r="11" spans="1:4">
      <c r="A11" t="s">
        <v>94</v>
      </c>
      <c r="B11" s="9" t="s">
        <v>97</v>
      </c>
      <c r="D11" s="9"/>
    </row>
    <row r="12" spans="1:4">
      <c r="A12" t="s">
        <v>95</v>
      </c>
      <c r="B12" t="s">
        <v>98</v>
      </c>
    </row>
    <row r="15" spans="1:4">
      <c r="D15" s="9"/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Hero</vt:lpstr>
      <vt:lpstr>HeroSkin</vt:lpstr>
      <vt:lpstr>HeroSpell</vt:lpstr>
      <vt:lpstr>HeroEXP</vt:lpstr>
      <vt:lpstr>Info</vt:lpstr>
      <vt:lpstr>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孟璋 林</cp:lastModifiedBy>
  <dcterms:created xsi:type="dcterms:W3CDTF">2015-06-05T18:19:34Z</dcterms:created>
  <dcterms:modified xsi:type="dcterms:W3CDTF">2023-12-30T19:02:32Z</dcterms:modified>
</cp:coreProperties>
</file>