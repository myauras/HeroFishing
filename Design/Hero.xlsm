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Projects\HeroFishing\Design\"/>
    </mc:Choice>
  </mc:AlternateContent>
  <xr:revisionPtr revIDLastSave="0" documentId="13_ncr:1_{51555EF8-B00F-4454-9FAC-72ADA49BEE64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2" authorId="0" shapeId="0" xr:uid="{E1AA43A3-C6F6-4195-9090-614D5DB4277F}">
      <text>
        <r>
          <rPr>
            <b/>
            <sz val="9"/>
            <color indexed="81"/>
            <rFont val="Tahoma"/>
            <family val="2"/>
          </rPr>
          <t>Oscar:</t>
        </r>
        <r>
          <rPr>
            <sz val="9"/>
            <color indexed="81"/>
            <rFont val="Tahoma"/>
            <family val="2"/>
          </rPr>
          <t xml:space="preserve">
Mov: </t>
        </r>
        <r>
          <rPr>
            <sz val="9"/>
            <color indexed="81"/>
            <rFont val="細明體"/>
            <family val="3"/>
            <charset val="136"/>
          </rPr>
          <t xml:space="preserve">施放範圍跟著滑鼠移動
</t>
        </r>
        <r>
          <rPr>
            <sz val="9"/>
            <color indexed="81"/>
            <rFont val="Tahoma"/>
            <family val="2"/>
          </rPr>
          <t xml:space="preserve">Rot: </t>
        </r>
        <r>
          <rPr>
            <sz val="9"/>
            <color indexed="81"/>
            <rFont val="細明體"/>
            <family val="3"/>
            <charset val="136"/>
          </rPr>
          <t xml:space="preserve">施放範圍跟著滑鼠旋轉
</t>
        </r>
      </text>
    </comment>
    <comment ref="J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K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 xml:space="preserve">Oscar:
</t>
        </r>
        <r>
          <rPr>
            <sz val="9"/>
            <color indexed="81"/>
            <rFont val="細明體"/>
            <family val="3"/>
            <charset val="136"/>
          </rPr>
          <t>請根據前面的施法類型，填入不同順序的參數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Bullet:
</t>
        </r>
        <r>
          <rPr>
            <sz val="9"/>
            <color indexed="81"/>
            <rFont val="細明體"/>
            <family val="3"/>
            <charset val="136"/>
          </rPr>
          <t>1. 是否為貫穿子彈: 不貫穿就填入false，會貫穿填入true
2. 貫穿數量: 貫穿多少敵人後消失，若為0則不限制
3. 指示物長度: 拖曳圖像的長度
4. 子彈碰撞半徑: 多少距離內子彈會碰撞造成傷害
5. 子彈速度: 子彈飛行速度
6. 生命週期: 子彈飛行多久會自行消失
7. 子彈角度: 散射子彈間隔角度
8. 子彈數量: 散射子彈數量
Area:
1. 區域形狀: 造成傷害的形狀，若為直線填入Line，若為圓形或扇形填入Circle
2. 區域長度或半徑: 區域形狀Line為長度，區域形狀Circle為半徑
3. 區域寬度或扇形角度: 區域形狀Line為寬度，區域形狀Circle為扇形的角度，填0或360則為圓形
4. 施放類型: Mov為施放範圍跟著滑鼠移動，Rot為施放範圍會跟著玩家旋轉
4. 施放距離: 可以距離角色多遠施放(ex槍林彈雨)
5. 生命週期: 區域消失
6. 波數: 傷害會跳多少次</t>
        </r>
        <r>
          <rPr>
            <b/>
            <sz val="9"/>
            <color indexed="81"/>
            <rFont val="Tahoma"/>
            <family val="2"/>
          </rPr>
          <t xml:space="preserve">
========
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LineRange(</t>
        </r>
        <r>
          <rPr>
            <sz val="9"/>
            <color indexed="81"/>
            <rFont val="細明體"/>
            <family val="3"/>
            <charset val="136"/>
          </rPr>
          <t>直線飛射穿透)：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LineRangeInstant(</t>
        </r>
        <r>
          <rPr>
            <sz val="9"/>
            <color indexed="81"/>
            <rFont val="細明體"/>
            <family val="3"/>
            <charset val="136"/>
          </rPr>
          <t>直線立即範圍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</t>
        </r>
      </text>
    </comment>
    <comment ref="Q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  <comment ref="R2" authorId="0" shapeId="0" xr:uid="{9A1DCC3C-55D2-4C36-BF85-C5D912AFD309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(R,G,B,A,Itensity,Fresnel,Opacity,smooth,Metallic)</t>
        </r>
      </text>
    </comment>
  </commentList>
</comments>
</file>

<file path=xl/sharedStrings.xml><?xml version="1.0" encoding="utf-8"?>
<sst xmlns="http://schemas.openxmlformats.org/spreadsheetml/2006/main" count="543" uniqueCount="300">
  <si>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</si>
  <si>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</si>
  <si>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</si>
  <si>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</si>
  <si>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</si>
  <si>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</si>
  <si>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</si>
  <si>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</si>
  <si>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</si>
  <si>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</si>
  <si>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</si>
  <si>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</si>
  <si>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</si>
  <si>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</si>
  <si>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</si>
  <si>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</si>
  <si>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</si>
  <si>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</si>
  <si>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</si>
  <si>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</si>
  <si>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</si>
  <si>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</si>
  <si>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</si>
  <si>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</si>
  <si>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</si>
  <si>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</si>
  <si>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</si>
  <si>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</si>
  <si>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</si>
  <si>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</si>
  <si>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</si>
  <si>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</si>
  <si>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</si>
  <si>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</si>
  <si>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</si>
  <si>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</si>
  <si>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</si>
  <si>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</si>
  <si>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</si>
  <si>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</si>
  <si>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</si>
  <si>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</si>
  <si>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</si>
  <si>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</si>
  <si>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</si>
  <si>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</si>
  <si>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</si>
  <si>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</si>
  <si>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</si>
  <si>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</si>
  <si>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</si>
  <si>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</si>
  <si>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</si>
  <si>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</si>
  <si>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</si>
  <si>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</si>
  <si>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</si>
  <si>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</si>
  <si>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</si>
  <si>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</si>
  <si>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</si>
  <si>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</si>
  <si>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</si>
  <si>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</si>
  <si>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</si>
  <si>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</si>
  <si>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</si>
  <si>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</si>
  <si>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</si>
  <si>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</si>
  <si>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</si>
  <si>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</si>
  <si>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</si>
  <si>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</si>
  <si>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</si>
  <si>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</si>
  <si>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</si>
  <si>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</si>
  <si>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</si>
  <si>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</si>
  <si>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</si>
  <si>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</si>
  <si>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</si>
  <si>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</si>
  <si>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</si>
  <si>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</si>
  <si>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</si>
  <si>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</si>
  <si>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</si>
  <si>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</si>
  <si>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</si>
  <si>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</si>
  <si>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</si>
  <si>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</si>
  <si>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</si>
  <si>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</si>
  <si>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</si>
  <si>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</si>
  <si>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</si>
  <si>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</si>
  <si>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</si>
  <si>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</si>
  <si>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</si>
  <si>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</si>
  <si>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</si>
  <si>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</si>
  <si>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</si>
  <si>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</si>
  <si>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</si>
  <si>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</si>
  <si>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</si>
  <si>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</si>
  <si>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</si>
  <si>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</si>
  <si>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</si>
  <si>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</si>
  <si>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</si>
  <si>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</si>
  <si>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</si>
  <si>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</si>
  <si>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</si>
  <si>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</si>
  <si>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</si>
  <si>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</si>
  <si>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</si>
  <si>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</si>
  <si>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</si>
  <si>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</si>
  <si>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</si>
  <si>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</si>
  <si>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</si>
  <si>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</si>
  <si>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</si>
  <si>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</si>
  <si>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</si>
  <si>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</si>
  <si>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</si>
  <si>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</si>
  <si>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</si>
  <si>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</si>
  <si>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</si>
  <si>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</si>
  <si>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</si>
  <si>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</si>
  <si>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</si>
  <si>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</si>
  <si>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</si>
  <si>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</si>
  <si>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</si>
  <si>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</si>
  <si>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</si>
  <si>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</si>
  <si>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</si>
  <si>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</si>
  <si>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</si>
  <si>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</si>
  <si>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</si>
  <si>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</si>
  <si>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</si>
  <si>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</si>
  <si>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</si>
  <si>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</si>
  <si>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</si>
  <si>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</si>
  <si>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</si>
  <si>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</si>
  <si>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</si>
  <si>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</si>
  <si>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</si>
  <si>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</si>
  <si>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</si>
  <si>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</si>
  <si>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</si>
  <si>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</si>
  <si>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</si>
  <si>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</si>
  <si>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</si>
  <si>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</si>
  <si>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</si>
  <si>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</si>
  <si>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</si>
  <si>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</si>
  <si>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</si>
  <si>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</si>
  <si>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</si>
  <si>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</si>
  <si>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</si>
  <si>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</si>
  <si>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</si>
  <si>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</si>
  <si>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</si>
  <si>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</si>
  <si>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</si>
  <si>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</si>
  <si>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</si>
  <si>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</si>
  <si>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</si>
  <si>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</si>
  <si>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</si>
  <si>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</si>
  <si>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</si>
  <si>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</si>
  <si>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</si>
  <si>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</si>
  <si>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</si>
  <si>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</si>
  <si>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</si>
  <si>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</si>
  <si>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</si>
  <si>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</si>
  <si>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</si>
  <si>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</si>
  <si>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</si>
  <si>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</si>
  <si>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</si>
  <si>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</si>
  <si>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</si>
  <si>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</si>
  <si>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</si>
  <si>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</si>
  <si>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</si>
  <si>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</si>
  <si>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</si>
  <si>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</si>
  <si>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</si>
  <si>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</si>
  <si>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</si>
  <si>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</si>
  <si>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</si>
  <si>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</si>
  <si>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</si>
  <si>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</si>
  <si>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</si>
  <si>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</si>
  <si>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</si>
  <si>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</si>
  <si>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</si>
  <si>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</si>
  <si>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</si>
  <si>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</si>
  <si>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</si>
  <si>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</si>
  <si>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</si>
  <si>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</si>
  <si>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</si>
  <si>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</si>
  <si>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</si>
  <si>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</si>
  <si>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</si>
  <si>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</si>
  <si>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</si>
  <si>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</si>
  <si>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</si>
  <si>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</si>
  <si>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</si>
  <si>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</si>
  <si>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</si>
  <si>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</si>
  <si>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</si>
  <si>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</si>
  <si>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</si>
  <si>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</si>
  <si>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</si>
  <si>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</si>
  <si>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</si>
  <si>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</si>
  <si>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5,0.4,15,2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</si>
  <si>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</si>
  <si>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</si>
  <si>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</si>
  <si>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</si>
  <si>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</si>
  <si>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</si>
  <si>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</si>
  <si>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</si>
  <si>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ashe_t_classic</t>
    <phoneticPr fontId="1" type="noConversion"/>
  </si>
  <si>
    <t>ashe_t_skin1</t>
    <phoneticPr fontId="1" type="noConversion"/>
  </si>
  <si>
    <t>擊中shader設定</t>
    <phoneticPr fontId="1" type="noConversion"/>
  </si>
  <si>
    <t>191,35,12,255,6,1.2,1,-1.29,0</t>
    <phoneticPr fontId="1" type="noConversion"/>
  </si>
  <si>
    <t>HitMonsterShaderSetting</t>
    <phoneticPr fontId="1" type="noConversion"/>
  </si>
  <si>
    <t>191,35,12,255,3,1.2,1,-1.29,0</t>
    <phoneticPr fontId="1" type="noConversion"/>
  </si>
  <si>
    <t>7_attack</t>
    <phoneticPr fontId="1" type="noConversion"/>
  </si>
  <si>
    <t>7_spell1</t>
    <phoneticPr fontId="1" type="noConversion"/>
  </si>
  <si>
    <t>7_spell2</t>
    <phoneticPr fontId="1" type="noConversion"/>
  </si>
  <si>
    <t>7_spell3</t>
    <phoneticPr fontId="1" type="noConversion"/>
  </si>
  <si>
    <t>attack1</t>
    <phoneticPr fontId="1" type="noConversion"/>
  </si>
  <si>
    <t>spell2</t>
    <phoneticPr fontId="1" type="noConversion"/>
  </si>
  <si>
    <t>ShadowFiend</t>
    <phoneticPr fontId="1" type="noConversion"/>
  </si>
  <si>
    <t>Bullet</t>
    <phoneticPr fontId="1" type="noConversion"/>
  </si>
  <si>
    <t>Area</t>
    <phoneticPr fontId="1" type="noConversion"/>
  </si>
  <si>
    <t>Circle,3,0,2,2,5</t>
    <phoneticPr fontId="1" type="noConversion"/>
  </si>
  <si>
    <t>Circle,5,60,2,2.5,10</t>
    <phoneticPr fontId="1" type="noConversion"/>
  </si>
  <si>
    <t>false,0,5,0.4,15,2,0,1</t>
    <phoneticPr fontId="1" type="noConversion"/>
  </si>
  <si>
    <t>false,0,5,0.6,15,2,0,1</t>
    <phoneticPr fontId="1" type="noConversion"/>
  </si>
  <si>
    <t>false,0,5,0.4,15,2,10,5</t>
    <phoneticPr fontId="1" type="noConversion"/>
  </si>
  <si>
    <t>UseType</t>
    <phoneticPr fontId="1" type="noConversion"/>
  </si>
  <si>
    <t>使用類型</t>
    <phoneticPr fontId="1" type="noConversion"/>
  </si>
  <si>
    <t>Rot</t>
    <phoneticPr fontId="1" type="noConversion"/>
  </si>
  <si>
    <t>Mov</t>
    <phoneticPr fontId="1" type="noConversion"/>
  </si>
  <si>
    <t>None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</si>
</sst>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5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0" fillId="0" borderId="0" xfId="0" applyAlignment="1">
      <alignment horizontal="center" vertical="center" wrapText="1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7" activePane="bottomRight" state="frozen"/>
      <selection pane="topRight" activeCell="C1" sqref="C1"/>
      <selection pane="bottomLeft" activeCell="A4" sqref="A4"/>
      <selection pane="bottomRight" activeCell="F10" sqref="F10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248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247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249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249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249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249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249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249</v>
      </c>
      <c r="G9" s="6">
        <v>6</v>
      </c>
    </row>
    <row r="10" spans="1:8" s="6" customFormat="1"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249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249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249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249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249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249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249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249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249</v>
      </c>
    </row>
    <row r="19" spans="1:6">
      <c r="A19" s="6">
        <v>16</v>
      </c>
      <c r="B19" s="12" t="s">
        <v>211</v>
      </c>
      <c r="C19" s="6" t="s">
        <v>200</v>
      </c>
      <c r="D19" s="6" t="s">
        <v>287</v>
      </c>
      <c r="E19" s="6" t="s">
        <v>134</v>
      </c>
      <c r="F19" s="6" t="s">
        <v>249</v>
      </c>
    </row>
    <row r="20" spans="1:6" s="6" customFormat="1">
      <c r="A20" s="6">
        <v>17</v>
      </c>
      <c r="B20" s="12" t="s">
        <v>215</v>
      </c>
      <c r="C20" s="6" t="s">
        <v>200</v>
      </c>
      <c r="D20" s="6" t="s">
        <v>216</v>
      </c>
      <c r="E20" s="6" t="s">
        <v>134</v>
      </c>
      <c r="F20" s="6" t="s">
        <v>249</v>
      </c>
    </row>
    <row r="21" spans="1:6" s="6" customFormat="1">
      <c r="A21" s="6">
        <v>18</v>
      </c>
      <c r="B21" s="12" t="s">
        <v>220</v>
      </c>
      <c r="C21" s="6" t="s">
        <v>232</v>
      </c>
      <c r="D21" s="6" t="s">
        <v>226</v>
      </c>
      <c r="E21" s="6" t="s">
        <v>134</v>
      </c>
      <c r="F21" s="6" t="s">
        <v>249</v>
      </c>
    </row>
    <row r="22" spans="1:6" s="6" customFormat="1">
      <c r="A22" s="6">
        <v>19</v>
      </c>
      <c r="B22" s="12" t="s">
        <v>225</v>
      </c>
      <c r="C22" s="6" t="s">
        <v>232</v>
      </c>
      <c r="D22" s="6" t="s">
        <v>244</v>
      </c>
      <c r="E22" s="6" t="s">
        <v>134</v>
      </c>
      <c r="F22" s="6" t="s">
        <v>249</v>
      </c>
    </row>
    <row r="23" spans="1:6" s="6" customFormat="1">
      <c r="A23" s="6">
        <v>20</v>
      </c>
      <c r="B23" s="12" t="s">
        <v>231</v>
      </c>
      <c r="C23" s="6" t="s">
        <v>232</v>
      </c>
      <c r="D23" s="6" t="s">
        <v>233</v>
      </c>
      <c r="E23" s="6" t="s">
        <v>134</v>
      </c>
      <c r="F23" s="6" t="s">
        <v>249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sheetPr codeName="工作表3"/>
  <dimension ref="A1:D10"/>
  <sheetViews>
    <sheetView workbookViewId="0">
      <selection activeCell="D9" sqref="D9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14.7109375" customWidth="1"/>
    <col min="4" max="4" width="11.7109375" customWidth="1"/>
  </cols>
  <sheetData>
    <row r="1" spans="1:4" s="7" customFormat="1">
      <c r="A1" s="7" t="s">
        <v>79</v>
      </c>
      <c r="B1" s="7" t="s">
        <v>84</v>
      </c>
      <c r="C1" s="7" t="s">
        <v>245</v>
      </c>
      <c r="D1" s="7" t="s">
        <v>243</v>
      </c>
    </row>
    <row r="2" spans="1:4" s="7" customFormat="1">
      <c r="A2" s="7" t="s">
        <v>80</v>
      </c>
      <c r="B2" s="7" t="s">
        <v>87</v>
      </c>
      <c r="C2" s="7" t="s">
        <v>246</v>
      </c>
      <c r="D2" s="7" t="s">
        <v>238</v>
      </c>
    </row>
    <row r="4" spans="1:4" s="6" customFormat="1">
      <c r="A4" s="6" t="s">
        <v>267</v>
      </c>
      <c r="B4" s="12" t="s">
        <v>268</v>
      </c>
      <c r="C4" s="6" t="s">
        <v>269</v>
      </c>
      <c r="D4" s="6" t="s">
        <v>274</v>
      </c>
    </row>
    <row r="5" spans="1:4" s="6" customFormat="1">
      <c r="B5" s="12"/>
    </row>
    <row r="7" spans="1:4" s="6" customFormat="1">
      <c r="A7" s="6" t="s">
        <v>229</v>
      </c>
      <c r="B7" s="12" t="s">
        <v>255</v>
      </c>
      <c r="C7" s="6" t="s">
        <v>250</v>
      </c>
      <c r="D7" s="6" t="s">
        <v>275</v>
      </c>
    </row>
    <row r="8" spans="1:4" s="6" customFormat="1">
      <c r="A8" s="6" t="s">
        <v>242</v>
      </c>
      <c r="B8" s="12" t="s">
        <v>256</v>
      </c>
      <c r="C8" s="6" t="s">
        <v>250</v>
      </c>
      <c r="D8" s="6" t="s">
        <v>276</v>
      </c>
    </row>
    <row r="10" spans="1:4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R125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I5" sqref="I5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15.140625" customWidth="1"/>
    <col min="10" max="10" width="15" customWidth="1"/>
    <col min="11" max="11" width="24" customWidth="1"/>
    <col min="12" max="12" width="15" customWidth="1"/>
    <col min="13" max="13" width="17.28515625" customWidth="1"/>
    <col min="14" max="14" width="14.140625" customWidth="1"/>
    <col min="17" max="17" width="15" customWidth="1"/>
    <col min="18" max="18" width="32.42578125" customWidth="1"/>
    <col min="19" max="19" width="29.42578125" customWidth="1"/>
  </cols>
  <sheetData>
    <row r="1" spans="1:18" s="7" customFormat="1">
      <c r="A1" s="7" t="s">
        <v>79</v>
      </c>
      <c r="B1" s="7" t="s">
        <v>84</v>
      </c>
      <c r="C1" s="7" t="s">
        <v>85</v>
      </c>
      <c r="D1" s="7" t="s">
        <v>237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295</v>
      </c>
      <c r="J1" s="7" t="s">
        <v>239</v>
      </c>
      <c r="K1" s="7" t="s">
        <v>263</v>
      </c>
      <c r="L1" s="7" t="s">
        <v>260</v>
      </c>
      <c r="M1" s="7" t="s">
        <v>257</v>
      </c>
      <c r="N1" s="7" t="s">
        <v>110</v>
      </c>
      <c r="O1" s="7" t="s">
        <v>240</v>
      </c>
      <c r="P1" s="7" t="s">
        <v>106</v>
      </c>
      <c r="Q1" s="7" t="s">
        <v>264</v>
      </c>
      <c r="R1" s="7" t="s">
        <v>279</v>
      </c>
    </row>
    <row r="2" spans="1:18" s="7" customFormat="1">
      <c r="A2" s="7" t="s">
        <v>80</v>
      </c>
      <c r="B2" s="7" t="s">
        <v>87</v>
      </c>
      <c r="C2" s="7" t="s">
        <v>88</v>
      </c>
      <c r="D2" s="7" t="s">
        <v>238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296</v>
      </c>
      <c r="J2" s="7" t="s">
        <v>261</v>
      </c>
      <c r="K2" s="7" t="s">
        <v>262</v>
      </c>
      <c r="L2" s="7" t="s">
        <v>258</v>
      </c>
      <c r="M2" s="7" t="s">
        <v>259</v>
      </c>
      <c r="N2" s="7" t="s">
        <v>109</v>
      </c>
      <c r="O2" s="7" t="s">
        <v>105</v>
      </c>
      <c r="P2" s="7" t="s">
        <v>107</v>
      </c>
      <c r="Q2" s="7" t="s">
        <v>265</v>
      </c>
      <c r="R2" s="7" t="s">
        <v>277</v>
      </c>
    </row>
    <row r="3" spans="1:18">
      <c r="B3" s="12"/>
    </row>
    <row r="4" spans="1:18">
      <c r="B4" s="7" t="s">
        <v>90</v>
      </c>
    </row>
    <row r="5" spans="1:18" s="6" customFormat="1">
      <c r="A5" s="6" t="s">
        <v>270</v>
      </c>
      <c r="B5" s="12" t="s">
        <v>99</v>
      </c>
      <c r="D5" s="6" t="str">
        <f>A5</f>
        <v>1_attack</v>
      </c>
      <c r="E5" s="6">
        <v>1</v>
      </c>
      <c r="F5" s="6">
        <v>0.3</v>
      </c>
      <c r="I5" s="6" t="s">
        <v>299</v>
      </c>
      <c r="J5" s="6" t="s">
        <v>288</v>
      </c>
      <c r="K5" s="6" t="s">
        <v>292</v>
      </c>
      <c r="O5" s="6" t="s">
        <v>111</v>
      </c>
      <c r="Q5" s="6">
        <v>10</v>
      </c>
      <c r="R5" s="14" t="s">
        <v>280</v>
      </c>
    </row>
    <row r="6" spans="1:18" s="6" customFormat="1">
      <c r="A6" s="6" t="s">
        <v>271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I6" s="6" t="s">
        <v>297</v>
      </c>
      <c r="J6" s="6" t="s">
        <v>288</v>
      </c>
      <c r="K6" s="6" t="s">
        <v>293</v>
      </c>
      <c r="L6" s="6" t="s">
        <v>187</v>
      </c>
      <c r="M6" s="6">
        <v>2</v>
      </c>
      <c r="O6" s="6" t="s">
        <v>112</v>
      </c>
      <c r="Q6" s="6">
        <v>11</v>
      </c>
      <c r="R6" s="14" t="s">
        <v>280</v>
      </c>
    </row>
    <row r="7" spans="1:18" s="6" customFormat="1">
      <c r="A7" s="6" t="s">
        <v>272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 t="s">
        <v>298</v>
      </c>
      <c r="J7" s="6" t="s">
        <v>289</v>
      </c>
      <c r="K7" s="6" t="s">
        <v>290</v>
      </c>
      <c r="O7" s="6" t="s">
        <v>113</v>
      </c>
      <c r="Q7" s="6">
        <v>12</v>
      </c>
      <c r="R7" s="14" t="s">
        <v>280</v>
      </c>
    </row>
    <row r="8" spans="1:18" s="6" customFormat="1">
      <c r="A8" s="6" t="s">
        <v>273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 t="s">
        <v>297</v>
      </c>
      <c r="J8" s="6" t="s">
        <v>289</v>
      </c>
      <c r="K8" s="6" t="s">
        <v>291</v>
      </c>
      <c r="N8" s="6" t="s">
        <v>108</v>
      </c>
      <c r="O8" s="6" t="s">
        <v>114</v>
      </c>
      <c r="Q8" s="6">
        <v>13</v>
      </c>
      <c r="R8" s="14" t="s">
        <v>280</v>
      </c>
    </row>
    <row r="9" spans="1:18">
      <c r="B9" s="12"/>
      <c r="R9" s="6"/>
    </row>
    <row r="10" spans="1:18">
      <c r="B10" s="7" t="s">
        <v>118</v>
      </c>
      <c r="R10" s="6"/>
    </row>
    <row r="11" spans="1:18" s="6" customFormat="1">
      <c r="B11" s="12" t="s">
        <v>99</v>
      </c>
      <c r="D11" s="6">
        <f>A11</f>
        <v>0</v>
      </c>
      <c r="E11" s="6">
        <v>1</v>
      </c>
      <c r="F11" s="6">
        <v>0.3</v>
      </c>
      <c r="O11" s="6" t="s">
        <v>111</v>
      </c>
    </row>
    <row r="12" spans="1:18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O12" s="6" t="s">
        <v>112</v>
      </c>
    </row>
    <row r="13" spans="1:18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O13" s="6" t="s">
        <v>113</v>
      </c>
    </row>
    <row r="14" spans="1:18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N14" s="6" t="s">
        <v>108</v>
      </c>
      <c r="O14" s="6" t="s">
        <v>114</v>
      </c>
    </row>
    <row r="15" spans="1:18" s="6" customFormat="1">
      <c r="B15" s="12"/>
    </row>
    <row r="16" spans="1:18">
      <c r="B16" s="7" t="s">
        <v>120</v>
      </c>
      <c r="F16" s="6"/>
      <c r="G16" s="6"/>
    </row>
    <row r="17" spans="2:15" s="6" customFormat="1">
      <c r="B17" s="12" t="s">
        <v>99</v>
      </c>
      <c r="D17" s="6">
        <f>A17</f>
        <v>0</v>
      </c>
      <c r="E17" s="6">
        <v>1</v>
      </c>
      <c r="F17" s="6">
        <v>0.3</v>
      </c>
      <c r="O17" s="6" t="s">
        <v>111</v>
      </c>
    </row>
    <row r="18" spans="2:15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L18" s="6" t="s">
        <v>241</v>
      </c>
      <c r="M18" s="6">
        <v>30</v>
      </c>
      <c r="O18" s="6" t="s">
        <v>112</v>
      </c>
    </row>
    <row r="19" spans="2:15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O19" s="6" t="s">
        <v>113</v>
      </c>
    </row>
    <row r="20" spans="2:15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L20" s="6" t="s">
        <v>241</v>
      </c>
      <c r="M20" s="6">
        <v>50</v>
      </c>
      <c r="N20" s="6" t="s">
        <v>108</v>
      </c>
      <c r="O20" s="6" t="s">
        <v>114</v>
      </c>
    </row>
    <row r="21" spans="2:15" s="6" customFormat="1"/>
    <row r="22" spans="2:15">
      <c r="B22" s="7" t="s">
        <v>121</v>
      </c>
    </row>
    <row r="23" spans="2:15" s="6" customFormat="1">
      <c r="B23" s="12" t="s">
        <v>99</v>
      </c>
      <c r="D23" s="6">
        <f>A23</f>
        <v>0</v>
      </c>
      <c r="E23" s="6">
        <v>1</v>
      </c>
      <c r="F23" s="6">
        <v>0.3</v>
      </c>
      <c r="O23" s="6" t="s">
        <v>111</v>
      </c>
    </row>
    <row r="24" spans="2:15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O24" s="6" t="s">
        <v>112</v>
      </c>
    </row>
    <row r="25" spans="2:15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O25" s="6" t="s">
        <v>113</v>
      </c>
    </row>
    <row r="26" spans="2:15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N26" s="6" t="s">
        <v>108</v>
      </c>
      <c r="O26" s="6" t="s">
        <v>114</v>
      </c>
    </row>
    <row r="27" spans="2:15" s="6" customFormat="1">
      <c r="B27" s="12"/>
    </row>
    <row r="28" spans="2:15">
      <c r="B28" s="7" t="s">
        <v>122</v>
      </c>
    </row>
    <row r="29" spans="2:15" s="6" customFormat="1">
      <c r="B29" s="12" t="s">
        <v>99</v>
      </c>
      <c r="D29" s="6">
        <f>A29</f>
        <v>0</v>
      </c>
      <c r="E29" s="6">
        <v>1</v>
      </c>
      <c r="F29" s="6">
        <v>0.3</v>
      </c>
      <c r="O29" s="6" t="s">
        <v>111</v>
      </c>
    </row>
    <row r="30" spans="2:15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L30" s="6" t="s">
        <v>241</v>
      </c>
      <c r="M30" s="6">
        <v>30</v>
      </c>
      <c r="O30" s="6" t="s">
        <v>112</v>
      </c>
    </row>
    <row r="31" spans="2:15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O31" s="6" t="s">
        <v>113</v>
      </c>
    </row>
    <row r="32" spans="2:15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L32" s="6" t="s">
        <v>187</v>
      </c>
      <c r="M32" s="6">
        <v>5</v>
      </c>
      <c r="N32" s="6" t="s">
        <v>108</v>
      </c>
      <c r="O32" s="6" t="s">
        <v>114</v>
      </c>
    </row>
    <row r="33" spans="1:18" s="6" customFormat="1">
      <c r="B33" s="12"/>
    </row>
    <row r="34" spans="1:18">
      <c r="B34" s="7" t="s">
        <v>124</v>
      </c>
    </row>
    <row r="35" spans="1:18" s="6" customFormat="1">
      <c r="B35" s="12" t="s">
        <v>99</v>
      </c>
      <c r="D35" s="6">
        <f>A35</f>
        <v>0</v>
      </c>
      <c r="E35" s="6">
        <v>1</v>
      </c>
      <c r="F35" s="6">
        <v>0.3</v>
      </c>
      <c r="O35" s="6" t="s">
        <v>111</v>
      </c>
    </row>
    <row r="36" spans="1:18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O36" s="6" t="s">
        <v>112</v>
      </c>
    </row>
    <row r="37" spans="1:18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O37" s="6" t="s">
        <v>113</v>
      </c>
    </row>
    <row r="38" spans="1:18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N38" s="6" t="s">
        <v>108</v>
      </c>
      <c r="O38" s="6" t="s">
        <v>114</v>
      </c>
    </row>
    <row r="39" spans="1:18" s="6" customFormat="1">
      <c r="B39" s="12"/>
    </row>
    <row r="40" spans="1:18">
      <c r="B40" s="7" t="s">
        <v>126</v>
      </c>
    </row>
    <row r="41" spans="1:18" s="6" customFormat="1">
      <c r="A41" s="6" t="s">
        <v>281</v>
      </c>
      <c r="B41" s="12" t="s">
        <v>99</v>
      </c>
      <c r="D41" s="6" t="str">
        <f>A41</f>
        <v>7_attack</v>
      </c>
      <c r="E41" s="6">
        <v>1</v>
      </c>
      <c r="F41" s="6">
        <v>0.3</v>
      </c>
      <c r="O41" s="6" t="s">
        <v>285</v>
      </c>
      <c r="Q41" s="6">
        <v>70</v>
      </c>
    </row>
    <row r="42" spans="1:18" s="6" customFormat="1">
      <c r="A42" s="6" t="s">
        <v>282</v>
      </c>
      <c r="B42" s="12" t="s">
        <v>166</v>
      </c>
      <c r="D42" s="6" t="str">
        <f>A42</f>
        <v>7_spell1</v>
      </c>
      <c r="E42" s="6">
        <v>15</v>
      </c>
      <c r="F42" s="6">
        <v>5</v>
      </c>
      <c r="G42" s="6">
        <f>ROUND((E42/10)*(100/20),0)</f>
        <v>8</v>
      </c>
      <c r="J42" s="6" t="s">
        <v>288</v>
      </c>
      <c r="K42" s="6" t="s">
        <v>266</v>
      </c>
      <c r="O42" s="6" t="s">
        <v>112</v>
      </c>
      <c r="Q42" s="6">
        <v>71</v>
      </c>
    </row>
    <row r="43" spans="1:18" s="6" customFormat="1">
      <c r="A43" s="6" t="s">
        <v>283</v>
      </c>
      <c r="B43" s="12" t="s">
        <v>167</v>
      </c>
      <c r="D43" s="6" t="str">
        <f>A43</f>
        <v>7_spell2</v>
      </c>
      <c r="E43" s="6">
        <v>15</v>
      </c>
      <c r="F43" s="6">
        <v>5</v>
      </c>
      <c r="G43" s="6">
        <f>ROUND((E43/10)*(100/20),0)</f>
        <v>8</v>
      </c>
      <c r="O43" s="6" t="s">
        <v>286</v>
      </c>
      <c r="Q43" s="6">
        <v>72</v>
      </c>
    </row>
    <row r="44" spans="1:18" s="6" customFormat="1">
      <c r="A44" s="6" t="s">
        <v>284</v>
      </c>
      <c r="B44" s="12" t="s">
        <v>168</v>
      </c>
      <c r="D44" s="6" t="str">
        <f>A44</f>
        <v>7_spell3</v>
      </c>
      <c r="E44" s="6">
        <v>100</v>
      </c>
      <c r="F44" s="6">
        <v>5</v>
      </c>
      <c r="G44" s="6">
        <f>ROUND((E44/10)*(100/20),0)</f>
        <v>50</v>
      </c>
      <c r="N44" s="6" t="s">
        <v>108</v>
      </c>
      <c r="O44" s="6" t="s">
        <v>113</v>
      </c>
      <c r="Q44" s="6">
        <v>73</v>
      </c>
    </row>
    <row r="45" spans="1:18" s="6" customFormat="1">
      <c r="B45" s="12"/>
    </row>
    <row r="46" spans="1:18">
      <c r="B46" s="7" t="s">
        <v>129</v>
      </c>
      <c r="R46" s="6"/>
    </row>
    <row r="47" spans="1:18" s="6" customFormat="1">
      <c r="B47" s="12" t="s">
        <v>99</v>
      </c>
      <c r="D47" s="6">
        <f>A47</f>
        <v>0</v>
      </c>
      <c r="E47" s="6">
        <v>1</v>
      </c>
      <c r="F47" s="6">
        <v>0.3</v>
      </c>
      <c r="O47" s="6" t="s">
        <v>111</v>
      </c>
    </row>
    <row r="48" spans="1:18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O48" s="6" t="s">
        <v>112</v>
      </c>
    </row>
    <row r="49" spans="2:15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O49" s="6" t="s">
        <v>113</v>
      </c>
    </row>
    <row r="50" spans="2:15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N50" s="6" t="s">
        <v>108</v>
      </c>
      <c r="O50" s="6" t="s">
        <v>114</v>
      </c>
    </row>
    <row r="51" spans="2:15" s="6" customFormat="1">
      <c r="B51" s="12"/>
    </row>
    <row r="52" spans="2:15">
      <c r="B52" s="7" t="s">
        <v>127</v>
      </c>
    </row>
    <row r="53" spans="2:15" s="6" customFormat="1">
      <c r="B53" s="12" t="s">
        <v>99</v>
      </c>
      <c r="D53" s="6">
        <f>A53</f>
        <v>0</v>
      </c>
      <c r="E53" s="6">
        <v>1</v>
      </c>
      <c r="F53" s="6">
        <v>0.3</v>
      </c>
      <c r="O53" s="6" t="s">
        <v>111</v>
      </c>
    </row>
    <row r="54" spans="2:15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O54" s="6" t="s">
        <v>112</v>
      </c>
    </row>
    <row r="55" spans="2:15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O55" s="6" t="s">
        <v>113</v>
      </c>
    </row>
    <row r="56" spans="2:15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N56" s="6" t="s">
        <v>108</v>
      </c>
      <c r="O56" s="6" t="s">
        <v>114</v>
      </c>
    </row>
    <row r="57" spans="2:15" s="6" customFormat="1">
      <c r="B57" s="12"/>
    </row>
    <row r="58" spans="2:15">
      <c r="B58" s="7" t="s">
        <v>131</v>
      </c>
    </row>
    <row r="59" spans="2:15" s="6" customFormat="1">
      <c r="B59" s="12" t="s">
        <v>99</v>
      </c>
      <c r="D59" s="6">
        <f>A59</f>
        <v>0</v>
      </c>
      <c r="E59" s="6">
        <v>1</v>
      </c>
      <c r="F59" s="6">
        <v>0.3</v>
      </c>
      <c r="O59" s="6" t="s">
        <v>111</v>
      </c>
    </row>
    <row r="60" spans="2:15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O60" s="6" t="s">
        <v>112</v>
      </c>
    </row>
    <row r="61" spans="2:15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O61" s="6" t="s">
        <v>113</v>
      </c>
    </row>
    <row r="62" spans="2:15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N62" s="6" t="s">
        <v>108</v>
      </c>
      <c r="O62" s="6" t="s">
        <v>114</v>
      </c>
    </row>
    <row r="63" spans="2:15" s="6" customFormat="1">
      <c r="B63" s="12"/>
    </row>
    <row r="64" spans="2:15">
      <c r="B64" s="7" t="s">
        <v>128</v>
      </c>
    </row>
    <row r="65" spans="2:15" s="6" customFormat="1">
      <c r="B65" s="12" t="s">
        <v>99</v>
      </c>
      <c r="D65" s="6">
        <f>A65</f>
        <v>0</v>
      </c>
      <c r="E65" s="6">
        <v>1</v>
      </c>
      <c r="F65" s="6">
        <v>0.3</v>
      </c>
      <c r="O65" s="6" t="s">
        <v>111</v>
      </c>
    </row>
    <row r="66" spans="2:15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O66" s="6" t="s">
        <v>112</v>
      </c>
    </row>
    <row r="67" spans="2:15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O67" s="6" t="s">
        <v>113</v>
      </c>
    </row>
    <row r="68" spans="2:15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N68" s="6" t="s">
        <v>108</v>
      </c>
      <c r="O68" s="6" t="s">
        <v>114</v>
      </c>
    </row>
    <row r="69" spans="2:15" s="6" customFormat="1">
      <c r="B69" s="12"/>
    </row>
    <row r="70" spans="2:15">
      <c r="B70" s="7" t="s">
        <v>133</v>
      </c>
    </row>
    <row r="71" spans="2:15" s="6" customFormat="1">
      <c r="B71" s="12" t="s">
        <v>99</v>
      </c>
      <c r="D71" s="6">
        <f>A71</f>
        <v>0</v>
      </c>
      <c r="E71" s="6">
        <v>1</v>
      </c>
      <c r="F71" s="6">
        <v>0.3</v>
      </c>
      <c r="O71" s="6" t="s">
        <v>111</v>
      </c>
    </row>
    <row r="72" spans="2:15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O72" s="6" t="s">
        <v>112</v>
      </c>
    </row>
    <row r="73" spans="2:15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O73" s="6" t="s">
        <v>113</v>
      </c>
    </row>
    <row r="74" spans="2:15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N74" s="6" t="s">
        <v>108</v>
      </c>
      <c r="O74" s="6" t="s">
        <v>114</v>
      </c>
    </row>
    <row r="75" spans="2:15" s="6" customFormat="1">
      <c r="B75" s="12"/>
    </row>
    <row r="76" spans="2:15">
      <c r="B76" s="7" t="s">
        <v>193</v>
      </c>
    </row>
    <row r="77" spans="2:15" s="6" customFormat="1">
      <c r="B77" s="12" t="s">
        <v>99</v>
      </c>
      <c r="D77" s="6">
        <f>A77</f>
        <v>0</v>
      </c>
      <c r="E77" s="6">
        <v>1</v>
      </c>
      <c r="F77" s="6">
        <v>0.3</v>
      </c>
      <c r="O77" s="6" t="s">
        <v>111</v>
      </c>
    </row>
    <row r="78" spans="2:15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O78" s="6" t="s">
        <v>112</v>
      </c>
    </row>
    <row r="79" spans="2:15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O79" s="6" t="s">
        <v>113</v>
      </c>
    </row>
    <row r="80" spans="2:15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N80" s="6" t="s">
        <v>108</v>
      </c>
      <c r="O80" s="6" t="s">
        <v>114</v>
      </c>
    </row>
    <row r="81" spans="2:15" s="6" customFormat="1">
      <c r="B81" s="12"/>
    </row>
    <row r="82" spans="2:15">
      <c r="B82" s="7" t="s">
        <v>201</v>
      </c>
    </row>
    <row r="83" spans="2:15" s="6" customFormat="1">
      <c r="B83" s="12" t="s">
        <v>99</v>
      </c>
      <c r="D83" s="6">
        <f>A83</f>
        <v>0</v>
      </c>
      <c r="E83" s="6">
        <v>1</v>
      </c>
      <c r="F83" s="6">
        <v>0.3</v>
      </c>
      <c r="O83" s="6" t="s">
        <v>111</v>
      </c>
    </row>
    <row r="84" spans="2:15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O84" s="6" t="s">
        <v>112</v>
      </c>
    </row>
    <row r="85" spans="2:15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O85" s="6" t="s">
        <v>113</v>
      </c>
    </row>
    <row r="86" spans="2:15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N86" s="6" t="s">
        <v>108</v>
      </c>
      <c r="O86" s="6" t="s">
        <v>114</v>
      </c>
    </row>
    <row r="87" spans="2:15" s="6" customFormat="1">
      <c r="B87" s="12"/>
    </row>
    <row r="88" spans="2:15">
      <c r="B88" s="7" t="s">
        <v>205</v>
      </c>
    </row>
    <row r="89" spans="2:15" s="6" customFormat="1">
      <c r="B89" s="12" t="s">
        <v>99</v>
      </c>
      <c r="D89" s="6">
        <f>A89</f>
        <v>0</v>
      </c>
      <c r="E89" s="6">
        <v>1</v>
      </c>
      <c r="F89" s="6">
        <v>0.3</v>
      </c>
      <c r="O89" s="6" t="s">
        <v>111</v>
      </c>
    </row>
    <row r="90" spans="2:15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L90" s="6" t="s">
        <v>187</v>
      </c>
      <c r="M90" s="6">
        <v>2</v>
      </c>
      <c r="O90" s="6" t="s">
        <v>112</v>
      </c>
    </row>
    <row r="91" spans="2:15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O91" s="6" t="s">
        <v>113</v>
      </c>
    </row>
    <row r="92" spans="2:15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N92" s="6" t="s">
        <v>108</v>
      </c>
      <c r="O92" s="6" t="s">
        <v>114</v>
      </c>
    </row>
    <row r="94" spans="2:15">
      <c r="B94" s="7" t="s">
        <v>211</v>
      </c>
    </row>
    <row r="95" spans="2:15" s="6" customFormat="1">
      <c r="B95" s="12" t="s">
        <v>99</v>
      </c>
      <c r="D95" s="6">
        <f>A95</f>
        <v>0</v>
      </c>
      <c r="E95" s="6">
        <v>1</v>
      </c>
      <c r="F95" s="6">
        <v>0.3</v>
      </c>
      <c r="O95" s="6" t="s">
        <v>111</v>
      </c>
    </row>
    <row r="96" spans="2:15" s="6" customFormat="1">
      <c r="B96" s="12" t="s">
        <v>212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O96" s="6" t="s">
        <v>112</v>
      </c>
    </row>
    <row r="97" spans="2:15" s="6" customFormat="1">
      <c r="B97" s="12" t="s">
        <v>213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O97" s="6" t="s">
        <v>113</v>
      </c>
    </row>
    <row r="98" spans="2:15" s="6" customFormat="1">
      <c r="B98" s="12" t="s">
        <v>214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N98" s="6" t="s">
        <v>108</v>
      </c>
      <c r="O98" s="6" t="s">
        <v>114</v>
      </c>
    </row>
    <row r="100" spans="2:15">
      <c r="B100" s="7" t="s">
        <v>215</v>
      </c>
    </row>
    <row r="101" spans="2:15" s="6" customFormat="1">
      <c r="B101" s="12" t="s">
        <v>99</v>
      </c>
      <c r="D101" s="6">
        <f>A101</f>
        <v>0</v>
      </c>
      <c r="E101" s="6">
        <v>1</v>
      </c>
      <c r="F101" s="6">
        <v>0.3</v>
      </c>
      <c r="O101" s="6" t="s">
        <v>111</v>
      </c>
    </row>
    <row r="102" spans="2:15" s="6" customFormat="1">
      <c r="B102" s="12" t="s">
        <v>217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O102" s="6" t="s">
        <v>112</v>
      </c>
    </row>
    <row r="103" spans="2:15" s="6" customFormat="1">
      <c r="B103" s="12" t="s">
        <v>218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L103" s="6" t="s">
        <v>187</v>
      </c>
      <c r="M103" s="6">
        <v>3</v>
      </c>
      <c r="O103" s="6" t="s">
        <v>113</v>
      </c>
    </row>
    <row r="104" spans="2:15" s="6" customFormat="1">
      <c r="B104" s="12" t="s">
        <v>219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N104" s="6" t="s">
        <v>108</v>
      </c>
      <c r="O104" s="6" t="s">
        <v>114</v>
      </c>
    </row>
    <row r="106" spans="2:15">
      <c r="B106" s="7" t="s">
        <v>220</v>
      </c>
    </row>
    <row r="107" spans="2:15" s="6" customFormat="1">
      <c r="B107" s="12" t="s">
        <v>99</v>
      </c>
      <c r="D107" s="6">
        <f>A107</f>
        <v>0</v>
      </c>
      <c r="E107" s="6">
        <v>1</v>
      </c>
      <c r="F107" s="6">
        <v>0.3</v>
      </c>
      <c r="O107" s="6" t="s">
        <v>111</v>
      </c>
    </row>
    <row r="108" spans="2:15" s="6" customFormat="1">
      <c r="B108" s="12" t="s">
        <v>221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O108" s="6" t="s">
        <v>112</v>
      </c>
    </row>
    <row r="109" spans="2:15" s="6" customFormat="1">
      <c r="B109" s="12" t="s">
        <v>222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O109" s="6" t="s">
        <v>113</v>
      </c>
    </row>
    <row r="110" spans="2:15" s="6" customFormat="1">
      <c r="B110" s="12" t="s">
        <v>223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N110" s="6" t="s">
        <v>108</v>
      </c>
      <c r="O110" s="6" t="s">
        <v>114</v>
      </c>
    </row>
    <row r="112" spans="2:15">
      <c r="B112" s="7" t="s">
        <v>225</v>
      </c>
    </row>
    <row r="113" spans="1:18" s="6" customFormat="1">
      <c r="A113" s="6" t="s">
        <v>251</v>
      </c>
      <c r="B113" s="12" t="s">
        <v>99</v>
      </c>
      <c r="D113" s="6" t="str">
        <f>A113</f>
        <v>19_attack</v>
      </c>
      <c r="E113" s="6">
        <v>1</v>
      </c>
      <c r="F113" s="6">
        <v>0.3</v>
      </c>
      <c r="J113" s="6" t="s">
        <v>288</v>
      </c>
      <c r="K113" s="6" t="s">
        <v>292</v>
      </c>
      <c r="O113" s="6" t="s">
        <v>111</v>
      </c>
      <c r="Q113" s="6">
        <v>190</v>
      </c>
      <c r="R113" s="14" t="s">
        <v>278</v>
      </c>
    </row>
    <row r="114" spans="1:18" s="6" customFormat="1">
      <c r="A114" s="6" t="s">
        <v>252</v>
      </c>
      <c r="B114" s="12" t="s">
        <v>224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J114" s="6" t="s">
        <v>288</v>
      </c>
      <c r="K114" s="6" t="s">
        <v>294</v>
      </c>
      <c r="O114" s="6" t="s">
        <v>112</v>
      </c>
      <c r="Q114" s="6">
        <v>190</v>
      </c>
      <c r="R114" s="14" t="s">
        <v>278</v>
      </c>
    </row>
    <row r="115" spans="1:18" s="6" customFormat="1">
      <c r="A115" s="6" t="s">
        <v>253</v>
      </c>
      <c r="B115" s="12" t="s">
        <v>227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J115" s="6" t="s">
        <v>288</v>
      </c>
      <c r="K115" s="6" t="s">
        <v>292</v>
      </c>
      <c r="O115" s="6" t="s">
        <v>113</v>
      </c>
      <c r="Q115" s="6">
        <v>192</v>
      </c>
      <c r="R115" s="14" t="s">
        <v>278</v>
      </c>
    </row>
    <row r="116" spans="1:18" s="6" customFormat="1">
      <c r="A116" s="6" t="s">
        <v>254</v>
      </c>
      <c r="B116" s="12" t="s">
        <v>228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J116" s="6" t="s">
        <v>288</v>
      </c>
      <c r="K116" s="6" t="s">
        <v>292</v>
      </c>
      <c r="N116" s="6" t="s">
        <v>108</v>
      </c>
      <c r="O116" s="6" t="s">
        <v>114</v>
      </c>
      <c r="Q116" s="6">
        <v>190</v>
      </c>
      <c r="R116" s="14" t="s">
        <v>278</v>
      </c>
    </row>
    <row r="117" spans="1:18">
      <c r="J117" s="6"/>
      <c r="K117" s="6"/>
    </row>
    <row r="118" spans="1:18">
      <c r="B118" s="7" t="s">
        <v>231</v>
      </c>
    </row>
    <row r="119" spans="1:18" s="6" customFormat="1">
      <c r="B119" s="12" t="s">
        <v>99</v>
      </c>
      <c r="D119" s="6">
        <f>A119</f>
        <v>0</v>
      </c>
      <c r="E119" s="6">
        <v>1</v>
      </c>
      <c r="F119" s="6">
        <v>0.3</v>
      </c>
      <c r="O119" s="6" t="s">
        <v>111</v>
      </c>
    </row>
    <row r="120" spans="1:18" s="6" customFormat="1">
      <c r="B120" s="12" t="s">
        <v>230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L120" s="6" t="s">
        <v>187</v>
      </c>
      <c r="M120" s="6">
        <v>3</v>
      </c>
      <c r="O120" s="6" t="s">
        <v>112</v>
      </c>
    </row>
    <row r="121" spans="1:18" s="6" customFormat="1">
      <c r="B121" s="12" t="s">
        <v>234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O121" s="6" t="s">
        <v>113</v>
      </c>
    </row>
    <row r="122" spans="1:18" s="6" customFormat="1">
      <c r="B122" s="12" t="s">
        <v>235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N122" s="6" t="s">
        <v>108</v>
      </c>
      <c r="O122" s="6" t="s">
        <v>114</v>
      </c>
    </row>
    <row r="125" spans="1:18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sheetPr codeName="工作表5"/>
  <dimension ref="A1:D15"/>
  <sheetViews>
    <sheetView workbookViewId="0">
      <selection activeCell="A13" sqref="A13:B13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I18" sqref="I18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A2" sqref="A2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236</v>
      </c>
    </row>
    <row r="2" spans="1:4">
      <c r="A2" s="2"/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2023-11-06T07:57:35Z</dcterms:modified>
</cp:coreProperties>
</file>