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flutterunity\HeroFishing\Design\"/>
    </mc:Choice>
  </mc:AlternateContent>
  <xr:revisionPtr revIDLastSave="0" documentId="13_ncr:1_{36ABA489-003A-49BF-9B1C-59972DFEDAF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RoleType">OFFSET(Setting!$C$10:$C$29,,,COUNTA(Setting!$C$10:$C$29))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10" l="1"/>
  <c r="G43" i="10"/>
  <c r="G42" i="10"/>
  <c r="G6" i="10"/>
  <c r="G13" i="10"/>
  <c r="G14" i="10"/>
  <c r="G12" i="10"/>
  <c r="G7" i="10"/>
  <c r="G8" i="10"/>
  <c r="D114" i="10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38" i="10"/>
  <c r="G37" i="10"/>
  <c r="G36" i="10"/>
  <c r="G32" i="10"/>
  <c r="G31" i="10"/>
  <c r="G30" i="10"/>
  <c r="G26" i="10"/>
  <c r="G25" i="10"/>
  <c r="G24" i="10"/>
  <c r="G20" i="10"/>
  <c r="G19" i="10"/>
  <c r="G1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<sst xmlns="http://schemas.openxmlformats.org/spreadsheetml/2006/main" count="663" uniqueCount="378">
  <si>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</si>
  <si>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</si>
  <si>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</si>
  <si>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</si>
  <si>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</si>
  <si>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</si>
  <si>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</si>
  <si>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</si>
  <si>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</si>
  <si>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</si>
  <si>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</si>
  <si>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</si>
  <si>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</si>
  <si>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</si>
  <si>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</si>
  <si>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</si>
  <si>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</si>
  <si>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</si>
  <si>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</si>
  <si>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</si>
  <si>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</si>
  <si>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</si>
  <si>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</si>
  <si>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</si>
  <si>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</si>
  <si>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</si>
  <si>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</si>
  <si>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</si>
  <si>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</si>
  <si>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</si>
  <si>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</si>
  <si>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</si>
  <si>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</si>
  <si>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</si>
  <si>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</si>
  <si>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</si>
  <si>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</si>
  <si>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</si>
  <si>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</si>
  <si>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</si>
  <si>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</si>
  <si>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</si>
  <si>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</si>
  <si>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</si>
  <si>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</si>
  <si>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</si>
  <si>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</si>
  <si>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</si>
  <si>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</si>
  <si>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</si>
  <si>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</si>
  <si>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</si>
  <si>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</si>
  <si>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</si>
  <si>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</si>
  <si>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</si>
  <si>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</si>
  <si>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</si>
  <si>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</si>
  <si>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</si>
  <si>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</si>
  <si>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</si>
  <si>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</si>
  <si>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</si>
  <si>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</si>
  <si>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</si>
  <si>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</si>
  <si>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</si>
  <si>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</si>
  <si>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</si>
  <si>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</si>
  <si>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</si>
  <si>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</si>
  <si>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</si>
  <si>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</si>
  <si>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</si>
  <si>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</si>
  <si>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</si>
  <si>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</si>
  <si>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</si>
  <si>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</si>
  <si>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</si>
  <si>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</si>
  <si>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</si>
  <si>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</si>
  <si>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</si>
  <si>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</si>
  <si>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</si>
  <si>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</si>
  <si>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</si>
  <si>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</si>
  <si>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</si>
  <si>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</si>
  <si>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</si>
  <si>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</si>
  <si>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</si>
  <si>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</si>
  <si>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</si>
  <si>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</si>
  <si>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</si>
  <si>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</si>
  <si>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</si>
  <si>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</si>
  <si>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</si>
  <si>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</si>
  <si>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</si>
  <si>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</si>
  <si>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</si>
  <si>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</si>
  <si>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</si>
  <si>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</si>
  <si>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</si>
  <si>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</si>
  <si>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</si>
  <si>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</si>
  <si>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</si>
  <si>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</si>
  <si>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</si>
  <si>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</si>
  <si>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</si>
  <si>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</si>
  <si>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</si>
  <si>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</si>
  <si>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</si>
  <si>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</si>
  <si>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</si>
  <si>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</si>
  <si>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</si>
  <si>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</si>
  <si>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</si>
  <si>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</si>
  <si>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</si>
  <si>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</si>
  <si>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</si>
  <si>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</si>
  <si>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</si>
  <si>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</si>
  <si>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</si>
  <si>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</si>
  <si>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</si>
  <si>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</si>
  <si>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</si>
  <si>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</si>
  <si>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</si>
  <si>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</si>
  <si>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</si>
  <si>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</si>
  <si>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</si>
  <si>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</si>
  <si>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</si>
  <si>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</si>
  <si>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</si>
  <si>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</si>
  <si>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</si>
  <si>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</si>
  <si>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</si>
  <si>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</si>
  <si>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</si>
  <si>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</si>
  <si>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</si>
  <si>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</si>
  <si>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</si>
  <si>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</si>
  <si>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</si>
  <si>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</si>
  <si>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</si>
  <si>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</si>
  <si>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</si>
  <si>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</si>
  <si>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</si>
  <si>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</si>
  <si>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</si>
  <si>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</si>
  <si>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</si>
  <si>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</si>
  <si>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</si>
  <si>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</si>
  <si>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</si>
  <si>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</si>
  <si>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</si>
  <si>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</si>
  <si>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</si>
  <si>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</si>
  <si>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</si>
  <si>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</si>
  <si>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</si>
  <si>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</si>
  <si>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</si>
  <si>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</si>
  <si>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</si>
  <si>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</si>
  <si>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</si>
  <si>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</si>
  <si>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</si>
  <si>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</si>
  <si>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</si>
  <si>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</si>
  <si>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</si>
  <si>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</si>
  <si>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</si>
  <si>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</si>
  <si>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</si>
  <si>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</si>
  <si>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</si>
  <si>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</si>
  <si>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</si>
  <si>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</si>
  <si>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</si>
  <si>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</si>
  <si>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</si>
  <si>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</si>
  <si>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</si>
  <si>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</si>
  <si>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</si>
  <si>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</si>
  <si>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</si>
  <si>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</si>
  <si>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</si>
  <si>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</si>
  <si>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</si>
  <si>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</si>
  <si>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</si>
  <si>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</si>
  <si>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</si>
  <si>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</si>
  <si>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</si>
  <si>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</si>
  <si>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</si>
  <si>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</si>
  <si>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</si>
  <si>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</si>
  <si>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</si>
  <si>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</si>
  <si>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</si>
  <si>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</si>
  <si>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</si>
  <si>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</si>
  <si>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</si>
  <si>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</si>
  <si>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</si>
  <si>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</si>
  <si>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</si>
  <si>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</si>
  <si>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</si>
  <si>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</si>
  <si>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</si>
  <si>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</si>
  <si>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</si>
  <si>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</si>
  <si>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</si>
  <si>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</si>
  <si>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</si>
  <si>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</si>
  <si>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</si>
  <si>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</si>
  <si>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</si>
  <si>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</si>
  <si>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</si>
  <si>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</si>
  <si>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</si>
  <si>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</si>
  <si>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</si>
  <si>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</si>
  <si>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</si>
  <si>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</si>
  <si>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</si>
  <si>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</si>
  <si>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</si>
  <si>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</si>
  <si>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</si>
  <si>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</si>
  <si>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</si>
  <si>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</si>
  <si>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</si>
  <si>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</si>
  <si>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</si>
  <si>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</si>
  <si>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</si>
  <si>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</si>
  <si>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</si>
  <si>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</si>
  <si>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</si>
  <si>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</si>
  <si>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</si>
  <si>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</si>
  <si>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</si>
  <si>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</si>
  <si>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</si>
  <si>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</si>
  <si>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</si>
  <si>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</si>
  <si>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</si>
  <si>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</si>
  <si>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</si>
  <si>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</si>
  <si>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</si>
  <si>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</si>
  <si>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</si>
  <si>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</si>
  <si>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</si>
  <si>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</si>
  <si>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</si>
  <si>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</si>
  <si>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</si>
  <si>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</si>
  <si>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</si>
  <si>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</si>
  <si>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</si>
  <si>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</si>
  <si>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</si>
  <si>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</si>
  <si>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</si>
  <si>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</si>
  <si>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</si>
  <si>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</si>
  <si>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</si>
  <si>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</si>
  <si>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</si>
  <si>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</si>
  <si>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</si>
  <si>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</si>
  <si>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</si>
  <si>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</si>
  <si>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</si>
  <si>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</si>
  <si>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</si>
  <si>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</si>
  <si>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</si>
  <si>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</si>
  <si>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</si>
  <si>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</si>
  <si>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</si>
  <si>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</si>
  <si>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</si>
  <si>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</si>
  <si>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</si>
  <si>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</si>
  <si>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</si>
  <si>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</si>
  <si>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</si>
  <si>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</si>
  <si>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</si>
  <si>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</si>
  <si>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</si>
  <si>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</si>
  <si>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</si>
  <si>
    <t>10,15,20,25</t>
    <phoneticPr fontId="1" type="noConversion"/>
  </si>
  <si>
    <t>10,15</t>
    <phoneticPr fontId="1" type="noConversion"/>
  </si>
  <si>
    <t>15,20,25,30</t>
    <phoneticPr fontId="1" type="noConversion"/>
  </si>
  <si>
    <t>20,25,30,35</t>
    <phoneticPr fontId="1" type="noConversion"/>
  </si>
  <si>
    <t>80,85</t>
    <phoneticPr fontId="1" type="noConversion"/>
  </si>
  <si>
    <t>100,110</t>
    <phoneticPr fontId="1" type="noConversion"/>
  </si>
  <si>
    <t>missFortune_t_classic</t>
    <phoneticPr fontId="1" type="noConversion"/>
  </si>
  <si>
    <t>Description_</t>
    <phoneticPr fontId="1" type="noConversion"/>
  </si>
  <si>
    <t>Title_</t>
    <phoneticPr fontId="1" type="noConversion"/>
  </si>
  <si>
    <t>稱號</t>
    <phoneticPr fontId="1" type="noConversion"/>
  </si>
  <si>
    <t>RoleType</t>
    <phoneticPr fontId="1" type="noConversion"/>
  </si>
  <si>
    <t>AGI</t>
  </si>
  <si>
    <t>AGI</t>
    <phoneticPr fontId="1" type="noConversion"/>
  </si>
  <si>
    <t>Shooter</t>
  </si>
  <si>
    <t>Shooter</t>
    <phoneticPr fontId="1" type="noConversion"/>
  </si>
  <si>
    <t>Mage</t>
  </si>
  <si>
    <t>Mage</t>
    <phoneticPr fontId="1" type="noConversion"/>
  </si>
  <si>
    <t>INT</t>
  </si>
  <si>
    <t>INT</t>
    <phoneticPr fontId="1" type="noConversion"/>
  </si>
  <si>
    <t>敏捷英雄</t>
    <phoneticPr fontId="1" type="noConversion"/>
  </si>
  <si>
    <t>射手</t>
    <phoneticPr fontId="1" type="noConversion"/>
  </si>
  <si>
    <t>法師</t>
    <phoneticPr fontId="1" type="noConversion"/>
  </si>
  <si>
    <t>智力英雄</t>
    <phoneticPr fontId="1" type="noConversion"/>
  </si>
  <si>
    <t>STR</t>
  </si>
  <si>
    <t>STR</t>
    <phoneticPr fontId="1" type="noConversion"/>
  </si>
  <si>
    <t>力量英雄</t>
    <phoneticPr fontId="1" type="noConversion"/>
  </si>
  <si>
    <t>賞金獵人</t>
    <phoneticPr fontId="1" type="noConversion"/>
  </si>
  <si>
    <t>探險家</t>
    <phoneticPr fontId="1" type="noConversion"/>
  </si>
  <si>
    <t>冰霜射手</t>
    <phoneticPr fontId="1" type="noConversion"/>
  </si>
  <si>
    <t>虛空之女</t>
    <phoneticPr fontId="1" type="noConversion"/>
  </si>
  <si>
    <t>光之少女</t>
    <phoneticPr fontId="1" type="noConversion"/>
  </si>
  <si>
    <t>月之獵手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</si>
</sst>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0" xfId="3" applyNumberFormat="1" applyFon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千分位" xfId="3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6" sqref="H16"/>
    </sheetView>
  </sheetViews>
  <sheetFormatPr defaultColWidth="10.42578125" defaultRowHeight="15.75" x14ac:dyDescent="0.25"/>
  <cols>
    <col min="1" max="1" width="10.42578125" style="6"/>
    <col min="2" max="4" width="14.28515625" style="6" customWidth="1"/>
    <col min="5" max="5" width="15.7109375" style="6" customWidth="1"/>
    <col min="6" max="6" width="16.5703125" customWidth="1"/>
    <col min="7" max="7" width="15.140625" customWidth="1"/>
    <col min="8" max="8" width="16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354</v>
      </c>
      <c r="D1" s="7" t="s">
        <v>356</v>
      </c>
      <c r="E1" s="7" t="s">
        <v>353</v>
      </c>
      <c r="F1" s="7" t="s">
        <v>86</v>
      </c>
      <c r="G1" s="7" t="s">
        <v>115</v>
      </c>
      <c r="H1" s="7" t="s">
        <v>248</v>
      </c>
    </row>
    <row r="2" spans="1:10" s="7" customFormat="1" x14ac:dyDescent="0.25">
      <c r="A2" s="7" t="s">
        <v>80</v>
      </c>
      <c r="B2" s="7" t="s">
        <v>87</v>
      </c>
      <c r="C2" s="7" t="s">
        <v>355</v>
      </c>
      <c r="D2" s="7" t="s">
        <v>91</v>
      </c>
      <c r="E2" s="7" t="s">
        <v>88</v>
      </c>
      <c r="F2" s="7" t="s">
        <v>89</v>
      </c>
      <c r="G2" s="7" t="s">
        <v>91</v>
      </c>
      <c r="H2" s="7" t="s">
        <v>247</v>
      </c>
    </row>
    <row r="4" spans="1:10" s="6" customFormat="1" x14ac:dyDescent="0.25">
      <c r="A4" s="6">
        <v>1</v>
      </c>
      <c r="B4" s="12" t="s">
        <v>117</v>
      </c>
      <c r="C4" s="12" t="s">
        <v>372</v>
      </c>
      <c r="D4" s="6" t="s">
        <v>359</v>
      </c>
      <c r="E4" s="6" t="s">
        <v>135</v>
      </c>
      <c r="F4" s="6" t="s">
        <v>116</v>
      </c>
      <c r="G4" s="6" t="s">
        <v>92</v>
      </c>
      <c r="H4" s="6" t="s">
        <v>249</v>
      </c>
    </row>
    <row r="5" spans="1:10" s="6" customFormat="1" x14ac:dyDescent="0.25">
      <c r="A5" s="6">
        <v>2</v>
      </c>
      <c r="B5" s="12" t="s">
        <v>119</v>
      </c>
      <c r="C5" s="12" t="s">
        <v>373</v>
      </c>
      <c r="D5" s="6" t="s">
        <v>359</v>
      </c>
      <c r="E5" s="6" t="s">
        <v>135</v>
      </c>
      <c r="F5" s="6" t="s">
        <v>140</v>
      </c>
      <c r="G5" s="6" t="s">
        <v>92</v>
      </c>
      <c r="H5" s="6" t="s">
        <v>249</v>
      </c>
    </row>
    <row r="6" spans="1:10" s="6" customFormat="1" x14ac:dyDescent="0.25">
      <c r="B6" s="12" t="s">
        <v>120</v>
      </c>
      <c r="C6" s="12"/>
      <c r="D6" s="6" t="s">
        <v>359</v>
      </c>
      <c r="E6" s="6" t="s">
        <v>135</v>
      </c>
      <c r="F6" s="6" t="s">
        <v>141</v>
      </c>
      <c r="G6" s="6" t="s">
        <v>92</v>
      </c>
      <c r="H6" s="6" t="s">
        <v>249</v>
      </c>
      <c r="I6" s="6">
        <v>3</v>
      </c>
    </row>
    <row r="7" spans="1:10" s="6" customFormat="1" x14ac:dyDescent="0.25">
      <c r="B7" s="12" t="s">
        <v>121</v>
      </c>
      <c r="C7" s="12" t="s">
        <v>376</v>
      </c>
      <c r="D7" s="6" t="s">
        <v>361</v>
      </c>
      <c r="E7" s="6" t="s">
        <v>136</v>
      </c>
      <c r="F7" s="6" t="s">
        <v>142</v>
      </c>
      <c r="G7" s="6" t="s">
        <v>92</v>
      </c>
      <c r="H7" s="6" t="s">
        <v>249</v>
      </c>
      <c r="I7" s="6">
        <v>4</v>
      </c>
    </row>
    <row r="8" spans="1:10" s="6" customFormat="1" x14ac:dyDescent="0.25">
      <c r="B8" s="12" t="s">
        <v>123</v>
      </c>
      <c r="C8" s="12"/>
      <c r="D8" s="6" t="s">
        <v>361</v>
      </c>
      <c r="E8" s="6" t="s">
        <v>136</v>
      </c>
      <c r="F8" s="6" t="s">
        <v>143</v>
      </c>
      <c r="G8" s="6" t="s">
        <v>92</v>
      </c>
      <c r="H8" s="6" t="s">
        <v>249</v>
      </c>
      <c r="I8" s="6">
        <v>5</v>
      </c>
    </row>
    <row r="9" spans="1:10" s="6" customFormat="1" x14ac:dyDescent="0.25">
      <c r="B9" s="12" t="s">
        <v>125</v>
      </c>
      <c r="C9" s="12"/>
      <c r="D9" s="6" t="s">
        <v>361</v>
      </c>
      <c r="E9" s="6" t="s">
        <v>136</v>
      </c>
      <c r="F9" s="6" t="s">
        <v>144</v>
      </c>
      <c r="G9" s="6" t="s">
        <v>92</v>
      </c>
      <c r="H9" s="6" t="s">
        <v>249</v>
      </c>
      <c r="I9" s="6">
        <v>6</v>
      </c>
    </row>
    <row r="10" spans="1:10" s="6" customFormat="1" x14ac:dyDescent="0.25">
      <c r="A10" s="6">
        <v>7</v>
      </c>
      <c r="B10" s="12" t="s">
        <v>126</v>
      </c>
      <c r="C10" s="12" t="s">
        <v>377</v>
      </c>
      <c r="D10" s="6" t="s">
        <v>357</v>
      </c>
      <c r="E10" s="6" t="s">
        <v>137</v>
      </c>
      <c r="F10" s="6" t="s">
        <v>145</v>
      </c>
      <c r="G10" s="6" t="s">
        <v>134</v>
      </c>
      <c r="H10" s="6" t="s">
        <v>249</v>
      </c>
    </row>
    <row r="11" spans="1:10" s="6" customFormat="1" x14ac:dyDescent="0.25">
      <c r="B11" s="12" t="s">
        <v>130</v>
      </c>
      <c r="C11" s="12"/>
      <c r="D11" s="6" t="s">
        <v>357</v>
      </c>
      <c r="E11" s="6" t="s">
        <v>137</v>
      </c>
      <c r="F11" s="6" t="s">
        <v>146</v>
      </c>
      <c r="G11" s="6" t="s">
        <v>134</v>
      </c>
      <c r="H11" s="6" t="s">
        <v>249</v>
      </c>
      <c r="I11" s="6">
        <v>8</v>
      </c>
    </row>
    <row r="12" spans="1:10" s="6" customFormat="1" x14ac:dyDescent="0.25">
      <c r="B12" s="12" t="s">
        <v>127</v>
      </c>
      <c r="C12" s="12"/>
      <c r="D12" s="6" t="s">
        <v>363</v>
      </c>
      <c r="E12" s="6" t="s">
        <v>138</v>
      </c>
      <c r="F12" s="6" t="s">
        <v>147</v>
      </c>
      <c r="G12" s="6" t="s">
        <v>134</v>
      </c>
      <c r="H12" s="6" t="s">
        <v>249</v>
      </c>
      <c r="I12" s="6">
        <v>9</v>
      </c>
    </row>
    <row r="13" spans="1:10" s="6" customFormat="1" x14ac:dyDescent="0.25">
      <c r="B13" s="12" t="s">
        <v>132</v>
      </c>
      <c r="C13" s="12"/>
      <c r="D13" s="6" t="s">
        <v>363</v>
      </c>
      <c r="E13" s="6" t="s">
        <v>138</v>
      </c>
      <c r="F13" s="6" t="s">
        <v>148</v>
      </c>
      <c r="G13" s="6" t="s">
        <v>134</v>
      </c>
      <c r="H13" s="6" t="s">
        <v>249</v>
      </c>
      <c r="I13" s="6">
        <v>10</v>
      </c>
    </row>
    <row r="14" spans="1:10" s="6" customFormat="1" x14ac:dyDescent="0.25">
      <c r="B14" s="12" t="s">
        <v>128</v>
      </c>
      <c r="C14" s="12"/>
      <c r="D14" s="6" t="s">
        <v>369</v>
      </c>
      <c r="E14" s="6" t="s">
        <v>139</v>
      </c>
      <c r="F14" s="6" t="s">
        <v>150</v>
      </c>
      <c r="G14" s="6" t="s">
        <v>134</v>
      </c>
      <c r="H14" s="6" t="s">
        <v>249</v>
      </c>
      <c r="I14" s="6">
        <v>11</v>
      </c>
    </row>
    <row r="15" spans="1:10" x14ac:dyDescent="0.25">
      <c r="B15" s="12" t="s">
        <v>133</v>
      </c>
      <c r="C15" s="12"/>
      <c r="D15" s="6" t="s">
        <v>369</v>
      </c>
      <c r="E15" s="6" t="s">
        <v>194</v>
      </c>
      <c r="F15" s="6" t="s">
        <v>149</v>
      </c>
      <c r="G15" s="6" t="s">
        <v>134</v>
      </c>
      <c r="H15" s="6" t="s">
        <v>249</v>
      </c>
      <c r="I15" s="6">
        <v>12</v>
      </c>
      <c r="J15" s="6"/>
    </row>
    <row r="16" spans="1:10" s="6" customFormat="1" x14ac:dyDescent="0.25">
      <c r="A16" s="6">
        <v>13</v>
      </c>
      <c r="B16" s="12" t="s">
        <v>193</v>
      </c>
      <c r="C16" s="12"/>
      <c r="D16" s="6" t="s">
        <v>357</v>
      </c>
      <c r="E16" s="6" t="s">
        <v>195</v>
      </c>
      <c r="F16" s="6" t="s">
        <v>196</v>
      </c>
      <c r="G16" s="6" t="s">
        <v>134</v>
      </c>
      <c r="H16" s="6" t="s">
        <v>249</v>
      </c>
      <c r="I16" s="6">
        <v>13</v>
      </c>
    </row>
    <row r="17" spans="1:9" s="6" customFormat="1" x14ac:dyDescent="0.25">
      <c r="B17" s="12" t="s">
        <v>201</v>
      </c>
      <c r="C17" s="12"/>
      <c r="D17" s="6" t="s">
        <v>363</v>
      </c>
      <c r="E17" s="6" t="s">
        <v>200</v>
      </c>
      <c r="F17" s="6" t="s">
        <v>206</v>
      </c>
      <c r="G17" s="6" t="s">
        <v>134</v>
      </c>
      <c r="H17" s="6" t="s">
        <v>249</v>
      </c>
      <c r="I17" s="6">
        <v>14</v>
      </c>
    </row>
    <row r="18" spans="1:9" s="6" customFormat="1" x14ac:dyDescent="0.25">
      <c r="B18" s="12" t="s">
        <v>205</v>
      </c>
      <c r="C18" s="12"/>
      <c r="D18" s="6" t="s">
        <v>363</v>
      </c>
      <c r="E18" s="6" t="s">
        <v>200</v>
      </c>
      <c r="F18" s="6" t="s">
        <v>207</v>
      </c>
      <c r="G18" s="6" t="s">
        <v>134</v>
      </c>
      <c r="H18" s="6" t="s">
        <v>249</v>
      </c>
      <c r="I18" s="6">
        <v>15</v>
      </c>
    </row>
    <row r="19" spans="1:9" x14ac:dyDescent="0.25">
      <c r="B19" s="12" t="s">
        <v>211</v>
      </c>
      <c r="C19" s="12"/>
      <c r="D19" s="6" t="s">
        <v>363</v>
      </c>
      <c r="E19" s="6" t="s">
        <v>200</v>
      </c>
      <c r="F19" s="6" t="s">
        <v>285</v>
      </c>
      <c r="G19" s="6" t="s">
        <v>134</v>
      </c>
      <c r="H19" s="6" t="s">
        <v>249</v>
      </c>
      <c r="I19" s="6">
        <v>16</v>
      </c>
    </row>
    <row r="20" spans="1:9" s="6" customFormat="1" x14ac:dyDescent="0.25">
      <c r="B20" s="12" t="s">
        <v>215</v>
      </c>
      <c r="C20" s="12"/>
      <c r="D20" s="6" t="s">
        <v>363</v>
      </c>
      <c r="E20" s="6" t="s">
        <v>200</v>
      </c>
      <c r="F20" s="6" t="s">
        <v>216</v>
      </c>
      <c r="G20" s="6" t="s">
        <v>134</v>
      </c>
      <c r="H20" s="6" t="s">
        <v>249</v>
      </c>
      <c r="I20" s="6">
        <v>17</v>
      </c>
    </row>
    <row r="21" spans="1:9" s="6" customFormat="1" x14ac:dyDescent="0.25">
      <c r="B21" s="12" t="s">
        <v>220</v>
      </c>
      <c r="C21" s="12" t="s">
        <v>375</v>
      </c>
      <c r="D21" s="6" t="s">
        <v>359</v>
      </c>
      <c r="E21" s="6" t="s">
        <v>232</v>
      </c>
      <c r="F21" s="6" t="s">
        <v>226</v>
      </c>
      <c r="G21" s="6" t="s">
        <v>92</v>
      </c>
      <c r="H21" s="6" t="s">
        <v>249</v>
      </c>
      <c r="I21" s="6">
        <v>18</v>
      </c>
    </row>
    <row r="22" spans="1:9" s="6" customFormat="1" x14ac:dyDescent="0.25">
      <c r="A22" s="6">
        <v>19</v>
      </c>
      <c r="B22" s="12" t="s">
        <v>225</v>
      </c>
      <c r="C22" s="12" t="s">
        <v>374</v>
      </c>
      <c r="D22" s="6" t="s">
        <v>359</v>
      </c>
      <c r="E22" s="6" t="s">
        <v>232</v>
      </c>
      <c r="F22" s="6" t="s">
        <v>244</v>
      </c>
      <c r="G22" s="6" t="s">
        <v>92</v>
      </c>
      <c r="H22" s="6" t="s">
        <v>249</v>
      </c>
    </row>
    <row r="23" spans="1:9" s="6" customFormat="1" x14ac:dyDescent="0.25">
      <c r="B23" s="12" t="s">
        <v>231</v>
      </c>
      <c r="C23" s="12"/>
      <c r="D23" s="6" t="s">
        <v>359</v>
      </c>
      <c r="E23" s="6" t="s">
        <v>232</v>
      </c>
      <c r="F23" s="6" t="s">
        <v>233</v>
      </c>
      <c r="G23" s="6" t="s">
        <v>92</v>
      </c>
      <c r="H23" s="6" t="s">
        <v>249</v>
      </c>
      <c r="I23" s="6">
        <v>20</v>
      </c>
    </row>
    <row r="24" spans="1:9" s="6" customFormat="1" x14ac:dyDescent="0.25">
      <c r="B24" s="12"/>
      <c r="C24" s="12"/>
    </row>
    <row r="26" spans="1:9" x14ac:dyDescent="0.25">
      <c r="A26" s="11" t="s">
        <v>83</v>
      </c>
    </row>
  </sheetData>
  <dataConsolidate/>
  <phoneticPr fontId="1" type="noConversion"/>
  <dataValidations count="2">
    <dataValidation type="list" allowBlank="1" showInputMessage="1" showErrorMessage="1" sqref="G3:G1048576" xr:uid="{FFB1A739-4EFB-4DEC-8F53-1D4AA14B9B9D}">
      <formula1>RoleCategory</formula1>
    </dataValidation>
    <dataValidation type="list" allowBlank="1" showInputMessage="1" showErrorMessage="1" sqref="D3:D1048576" xr:uid="{69BC8F60-0B55-4437-A44E-C97C905ACB4F}">
      <formula1>RoleType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A5" sqref="A5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116</v>
      </c>
      <c r="D4" s="6" t="s">
        <v>352</v>
      </c>
    </row>
    <row r="5" spans="1:4" s="6" customFormat="1" x14ac:dyDescent="0.25">
      <c r="A5" s="6" t="s">
        <v>330</v>
      </c>
      <c r="B5" s="12" t="s">
        <v>331</v>
      </c>
      <c r="C5" s="6" t="s">
        <v>140</v>
      </c>
      <c r="D5" s="6" t="s">
        <v>332</v>
      </c>
    </row>
    <row r="6" spans="1:4" s="6" customFormat="1" x14ac:dyDescent="0.25">
      <c r="A6" s="6" t="s">
        <v>300</v>
      </c>
      <c r="B6" s="12" t="s">
        <v>301</v>
      </c>
      <c r="C6" s="6" t="s">
        <v>302</v>
      </c>
      <c r="D6" s="6" t="s">
        <v>324</v>
      </c>
    </row>
    <row r="8" spans="1:4" s="6" customFormat="1" x14ac:dyDescent="0.25">
      <c r="A8" s="6" t="s">
        <v>229</v>
      </c>
      <c r="B8" s="12" t="s">
        <v>255</v>
      </c>
      <c r="C8" s="6" t="s">
        <v>250</v>
      </c>
      <c r="D8" s="6" t="s">
        <v>303</v>
      </c>
    </row>
    <row r="9" spans="1:4" s="6" customFormat="1" x14ac:dyDescent="0.25">
      <c r="A9" s="6" t="s">
        <v>242</v>
      </c>
      <c r="B9" s="12" t="s">
        <v>256</v>
      </c>
      <c r="C9" s="6" t="s">
        <v>250</v>
      </c>
      <c r="D9" s="6" t="s">
        <v>275</v>
      </c>
    </row>
    <row r="11" spans="1:4" x14ac:dyDescent="0.25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workbookViewId="0">
      <pane xSplit="1" ySplit="2" topLeftCell="B101" activePane="bottomRight" state="frozen"/>
      <selection pane="topRight" activeCell="B1" sqref="B1"/>
      <selection pane="bottomLeft" activeCell="A3" sqref="A3"/>
      <selection pane="bottomRight" activeCell="F124" sqref="F124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5" max="5" width="13.7109375" style="16" customWidth="1"/>
    <col min="6" max="6" width="6.5703125" customWidth="1"/>
    <col min="7" max="7" width="10.570312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15" t="s">
        <v>103</v>
      </c>
      <c r="F1" s="7" t="s">
        <v>185</v>
      </c>
      <c r="G1" s="7" t="s">
        <v>186</v>
      </c>
      <c r="H1" s="7" t="s">
        <v>189</v>
      </c>
      <c r="I1" s="7" t="s">
        <v>311</v>
      </c>
      <c r="J1" s="7" t="s">
        <v>312</v>
      </c>
      <c r="K1" s="7" t="s">
        <v>292</v>
      </c>
      <c r="L1" s="7" t="s">
        <v>239</v>
      </c>
      <c r="M1" s="7" t="s">
        <v>286</v>
      </c>
      <c r="N1" s="7" t="s">
        <v>265</v>
      </c>
      <c r="O1" s="7" t="s">
        <v>260</v>
      </c>
      <c r="P1" s="7" t="s">
        <v>257</v>
      </c>
      <c r="Q1" s="7" t="s">
        <v>306</v>
      </c>
      <c r="R1" s="7" t="s">
        <v>308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288</v>
      </c>
      <c r="X1" s="7" t="s">
        <v>278</v>
      </c>
      <c r="Y1" s="7" t="s">
        <v>320</v>
      </c>
      <c r="Z1" s="7" t="s">
        <v>321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15" t="s">
        <v>104</v>
      </c>
      <c r="F2" s="7" t="s">
        <v>184</v>
      </c>
      <c r="G2" s="7" t="s">
        <v>183</v>
      </c>
      <c r="H2" s="7" t="s">
        <v>188</v>
      </c>
      <c r="I2" s="7" t="s">
        <v>299</v>
      </c>
      <c r="J2" s="7" t="s">
        <v>313</v>
      </c>
      <c r="K2" s="7" t="s">
        <v>293</v>
      </c>
      <c r="L2" s="7" t="s">
        <v>263</v>
      </c>
      <c r="M2" s="7" t="s">
        <v>287</v>
      </c>
      <c r="N2" s="7" t="s">
        <v>264</v>
      </c>
      <c r="O2" s="7" t="s">
        <v>258</v>
      </c>
      <c r="P2" s="7" t="s">
        <v>259</v>
      </c>
      <c r="Q2" s="7" t="s">
        <v>307</v>
      </c>
      <c r="R2" s="7" t="s">
        <v>309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289</v>
      </c>
      <c r="X2" s="7" t="s">
        <v>276</v>
      </c>
      <c r="Y2" s="7" t="s">
        <v>317</v>
      </c>
      <c r="Z2" s="7" t="s">
        <v>322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271</v>
      </c>
      <c r="B5" s="12" t="s">
        <v>99</v>
      </c>
      <c r="D5" s="6" t="str">
        <f>A5</f>
        <v>1_attack</v>
      </c>
      <c r="E5" s="17"/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333</v>
      </c>
      <c r="T5" s="6" t="s">
        <v>111</v>
      </c>
      <c r="V5" s="6">
        <v>10</v>
      </c>
      <c r="X5" s="14" t="s">
        <v>279</v>
      </c>
    </row>
    <row r="6" spans="1:26" s="6" customFormat="1" x14ac:dyDescent="0.25">
      <c r="A6" s="6" t="s">
        <v>272</v>
      </c>
      <c r="B6" s="12" t="s">
        <v>100</v>
      </c>
      <c r="D6" s="6" t="str">
        <f>A6</f>
        <v>1_spell1</v>
      </c>
      <c r="E6" s="17" t="s">
        <v>346</v>
      </c>
      <c r="F6" s="6">
        <v>5</v>
      </c>
      <c r="G6" s="6">
        <f>ROUND((_xlfn.TEXTBEFORE(E6,",")/10)*(100/20),0)</f>
        <v>5</v>
      </c>
      <c r="H6" s="6">
        <v>1</v>
      </c>
      <c r="I6" s="6">
        <v>4</v>
      </c>
      <c r="J6" s="6">
        <v>4</v>
      </c>
      <c r="K6" s="6" t="s">
        <v>294</v>
      </c>
      <c r="L6" s="6" t="s">
        <v>261</v>
      </c>
      <c r="M6" s="6" t="b">
        <v>1</v>
      </c>
      <c r="N6" s="6" t="s">
        <v>333</v>
      </c>
      <c r="O6" s="6" t="s">
        <v>187</v>
      </c>
      <c r="P6" s="6" t="s">
        <v>290</v>
      </c>
      <c r="T6" s="6" t="s">
        <v>112</v>
      </c>
      <c r="V6" s="6">
        <v>11</v>
      </c>
      <c r="W6" s="6">
        <v>1</v>
      </c>
      <c r="X6" s="14" t="s">
        <v>279</v>
      </c>
    </row>
    <row r="7" spans="1:26" s="6" customFormat="1" x14ac:dyDescent="0.25">
      <c r="A7" s="6" t="s">
        <v>273</v>
      </c>
      <c r="B7" s="12" t="s">
        <v>101</v>
      </c>
      <c r="D7" s="6" t="str">
        <f>A7</f>
        <v>1_spell2</v>
      </c>
      <c r="E7" s="17" t="s">
        <v>346</v>
      </c>
      <c r="F7" s="6">
        <v>5</v>
      </c>
      <c r="G7" s="6">
        <f t="shared" ref="G7:G8" si="0">ROUND((_xlfn.TEXTBEFORE(E7,",")/10)*(100/20),0)</f>
        <v>5</v>
      </c>
      <c r="H7" s="6">
        <v>5</v>
      </c>
      <c r="I7" s="6">
        <v>5</v>
      </c>
      <c r="J7" s="6">
        <v>25</v>
      </c>
      <c r="K7" s="6" t="s">
        <v>295</v>
      </c>
      <c r="L7" s="6" t="s">
        <v>291</v>
      </c>
      <c r="M7" s="6" t="b">
        <v>0</v>
      </c>
      <c r="N7" s="6" t="s">
        <v>297</v>
      </c>
      <c r="T7" s="6" t="s">
        <v>113</v>
      </c>
      <c r="V7" s="6">
        <v>12</v>
      </c>
      <c r="X7" s="14" t="s">
        <v>279</v>
      </c>
    </row>
    <row r="8" spans="1:26" s="6" customFormat="1" x14ac:dyDescent="0.25">
      <c r="A8" s="6" t="s">
        <v>274</v>
      </c>
      <c r="B8" s="12" t="s">
        <v>102</v>
      </c>
      <c r="D8" s="6" t="str">
        <f>A8</f>
        <v>1_spell3</v>
      </c>
      <c r="E8" s="17" t="s">
        <v>347</v>
      </c>
      <c r="F8" s="6">
        <v>5</v>
      </c>
      <c r="G8" s="6">
        <f t="shared" si="0"/>
        <v>5</v>
      </c>
      <c r="H8" s="6">
        <v>10</v>
      </c>
      <c r="I8" s="6">
        <v>10</v>
      </c>
      <c r="J8" s="6">
        <v>100</v>
      </c>
      <c r="K8" s="6" t="s">
        <v>294</v>
      </c>
      <c r="L8" s="6" t="s">
        <v>296</v>
      </c>
      <c r="M8" s="6" t="b">
        <v>0</v>
      </c>
      <c r="N8" s="6" t="s">
        <v>298</v>
      </c>
      <c r="S8" s="6" t="s">
        <v>108</v>
      </c>
      <c r="T8" s="6" t="s">
        <v>114</v>
      </c>
      <c r="V8" s="6">
        <v>13</v>
      </c>
      <c r="X8" s="14" t="s">
        <v>279</v>
      </c>
      <c r="Y8" s="6" t="s">
        <v>318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326</v>
      </c>
      <c r="B11" s="12" t="s">
        <v>99</v>
      </c>
      <c r="D11" s="6" t="str">
        <f>A11</f>
        <v>2_attack</v>
      </c>
      <c r="E11" s="17"/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333</v>
      </c>
      <c r="T11" s="6" t="s">
        <v>111</v>
      </c>
      <c r="V11" s="6">
        <v>20</v>
      </c>
      <c r="X11" s="14" t="s">
        <v>335</v>
      </c>
    </row>
    <row r="12" spans="1:26" s="6" customFormat="1" x14ac:dyDescent="0.25">
      <c r="A12" s="6" t="s">
        <v>327</v>
      </c>
      <c r="B12" s="12" t="s">
        <v>151</v>
      </c>
      <c r="D12" s="6" t="str">
        <f>A12</f>
        <v>2_spell1</v>
      </c>
      <c r="E12" s="17" t="s">
        <v>348</v>
      </c>
      <c r="F12" s="6">
        <v>5</v>
      </c>
      <c r="G12" s="6">
        <f t="shared" ref="G12:G14" si="1">ROUND((_xlfn.TEXTBEFORE(E12,",")/10)*(100/20),0)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337</v>
      </c>
      <c r="T12" s="6" t="s">
        <v>112</v>
      </c>
      <c r="V12" s="6">
        <v>21</v>
      </c>
      <c r="X12" s="14" t="s">
        <v>336</v>
      </c>
    </row>
    <row r="13" spans="1:26" s="6" customFormat="1" x14ac:dyDescent="0.25">
      <c r="A13" s="6" t="s">
        <v>328</v>
      </c>
      <c r="B13" s="12" t="s">
        <v>152</v>
      </c>
      <c r="D13" s="6" t="str">
        <f>A13</f>
        <v>2_spell2</v>
      </c>
      <c r="E13" s="17" t="s">
        <v>349</v>
      </c>
      <c r="F13" s="6">
        <v>5</v>
      </c>
      <c r="G13" s="6">
        <f t="shared" si="1"/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338</v>
      </c>
      <c r="O13" s="6" t="s">
        <v>334</v>
      </c>
      <c r="P13" s="6" t="s">
        <v>339</v>
      </c>
      <c r="T13" s="6" t="s">
        <v>113</v>
      </c>
      <c r="V13" s="6">
        <v>22</v>
      </c>
      <c r="W13" s="6">
        <v>1</v>
      </c>
      <c r="X13" s="14" t="s">
        <v>335</v>
      </c>
    </row>
    <row r="14" spans="1:26" s="6" customFormat="1" x14ac:dyDescent="0.25">
      <c r="A14" s="6" t="s">
        <v>329</v>
      </c>
      <c r="B14" s="12" t="s">
        <v>153</v>
      </c>
      <c r="D14" s="6" t="str">
        <f>A14</f>
        <v>2_spell3</v>
      </c>
      <c r="E14" s="17" t="s">
        <v>350</v>
      </c>
      <c r="F14" s="6">
        <v>5</v>
      </c>
      <c r="G14" s="6">
        <f t="shared" si="1"/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340</v>
      </c>
      <c r="S14" s="6" t="s">
        <v>108</v>
      </c>
      <c r="T14" s="6" t="s">
        <v>114</v>
      </c>
      <c r="V14" s="6">
        <v>23</v>
      </c>
      <c r="X14" s="14" t="s">
        <v>335</v>
      </c>
      <c r="Y14" s="6" t="s">
        <v>341</v>
      </c>
    </row>
    <row r="15" spans="1:26" s="6" customFormat="1" x14ac:dyDescent="0.25">
      <c r="B15" s="12"/>
      <c r="E15" s="17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E17" s="17"/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17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17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17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>
      <c r="E21" s="17"/>
    </row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E23" s="17"/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17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17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17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  <c r="E27" s="17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E29" s="17"/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17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17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17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  <c r="E33" s="17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E35" s="17"/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17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17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17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  <c r="E39" s="17"/>
    </row>
    <row r="40" spans="1:26" x14ac:dyDescent="0.25">
      <c r="B40" s="7" t="s">
        <v>126</v>
      </c>
    </row>
    <row r="41" spans="1:26" s="6" customFormat="1" x14ac:dyDescent="0.25">
      <c r="A41" s="6" t="s">
        <v>280</v>
      </c>
      <c r="B41" s="12" t="s">
        <v>99</v>
      </c>
      <c r="D41" s="6" t="str">
        <f>A41</f>
        <v>7_attack</v>
      </c>
      <c r="E41" s="17"/>
      <c r="F41" s="6">
        <v>0.3</v>
      </c>
      <c r="J41" s="6">
        <v>1</v>
      </c>
      <c r="L41" s="6" t="s">
        <v>261</v>
      </c>
      <c r="M41" s="6" t="b">
        <v>1</v>
      </c>
      <c r="N41" s="6" t="s">
        <v>304</v>
      </c>
      <c r="T41" s="6" t="s">
        <v>284</v>
      </c>
      <c r="V41" s="6">
        <v>70</v>
      </c>
      <c r="X41" s="14" t="s">
        <v>316</v>
      </c>
    </row>
    <row r="42" spans="1:26" s="6" customFormat="1" x14ac:dyDescent="0.25">
      <c r="A42" s="6" t="s">
        <v>281</v>
      </c>
      <c r="B42" s="12" t="s">
        <v>166</v>
      </c>
      <c r="D42" s="6" t="str">
        <f>A42</f>
        <v>7_spell1</v>
      </c>
      <c r="E42" s="17" t="s">
        <v>348</v>
      </c>
      <c r="F42" s="6">
        <v>5</v>
      </c>
      <c r="G42" s="6">
        <f>ROUND((_xlfn.TEXTBEFORE(E42,",")/10)*(100/20),0)</f>
        <v>8</v>
      </c>
      <c r="H42" s="6">
        <v>1</v>
      </c>
      <c r="J42" s="6">
        <v>5</v>
      </c>
      <c r="K42" s="6" t="s">
        <v>295</v>
      </c>
      <c r="L42" s="6" t="s">
        <v>291</v>
      </c>
      <c r="M42" s="6" t="b">
        <v>0</v>
      </c>
      <c r="N42" s="6" t="s">
        <v>315</v>
      </c>
      <c r="T42" s="6" t="s">
        <v>112</v>
      </c>
      <c r="V42" s="6">
        <v>71</v>
      </c>
      <c r="X42" s="14" t="s">
        <v>316</v>
      </c>
    </row>
    <row r="43" spans="1:26" s="6" customFormat="1" x14ac:dyDescent="0.25">
      <c r="A43" s="6" t="s">
        <v>282</v>
      </c>
      <c r="B43" s="12" t="s">
        <v>167</v>
      </c>
      <c r="D43" s="6" t="str">
        <f>A43</f>
        <v>7_spell2</v>
      </c>
      <c r="E43" s="17" t="s">
        <v>348</v>
      </c>
      <c r="F43" s="6">
        <v>5</v>
      </c>
      <c r="G43" s="6">
        <f>ROUND((_xlfn.TEXTBEFORE(E43,",")/10)*(100/20),0)</f>
        <v>8</v>
      </c>
      <c r="J43" s="6">
        <v>10</v>
      </c>
      <c r="K43" s="6" t="s">
        <v>294</v>
      </c>
      <c r="L43" s="6" t="s">
        <v>261</v>
      </c>
      <c r="M43" s="6" t="b">
        <v>0</v>
      </c>
      <c r="N43" s="6" t="s">
        <v>305</v>
      </c>
      <c r="T43" s="6" t="s">
        <v>113</v>
      </c>
      <c r="V43" s="6">
        <v>72</v>
      </c>
      <c r="X43" s="14" t="s">
        <v>316</v>
      </c>
    </row>
    <row r="44" spans="1:26" s="6" customFormat="1" x14ac:dyDescent="0.25">
      <c r="A44" s="6" t="s">
        <v>283</v>
      </c>
      <c r="B44" s="12" t="s">
        <v>168</v>
      </c>
      <c r="D44" s="6" t="str">
        <f>A44</f>
        <v>7_spell3</v>
      </c>
      <c r="E44" s="18" t="s">
        <v>351</v>
      </c>
      <c r="F44" s="6">
        <v>5</v>
      </c>
      <c r="G44" s="6">
        <f>ROUND((_xlfn.TEXTBEFORE(E44,",")/10)*(100/20),0)</f>
        <v>50</v>
      </c>
      <c r="H44" s="6">
        <v>10</v>
      </c>
      <c r="J44" s="6">
        <v>100</v>
      </c>
      <c r="K44" s="6" t="s">
        <v>295</v>
      </c>
      <c r="L44" s="6" t="s">
        <v>291</v>
      </c>
      <c r="M44" s="6" t="b">
        <v>0</v>
      </c>
      <c r="N44" s="6" t="s">
        <v>323</v>
      </c>
      <c r="Q44" s="6" t="s">
        <v>310</v>
      </c>
      <c r="R44" s="6" t="s">
        <v>314</v>
      </c>
      <c r="S44" s="6" t="s">
        <v>108</v>
      </c>
      <c r="T44" s="6" t="s">
        <v>114</v>
      </c>
      <c r="V44" s="6">
        <v>73</v>
      </c>
      <c r="X44" s="14" t="s">
        <v>316</v>
      </c>
      <c r="Y44" s="6" t="s">
        <v>319</v>
      </c>
      <c r="Z44" s="6" t="s">
        <v>342</v>
      </c>
    </row>
    <row r="45" spans="1:26" s="6" customFormat="1" x14ac:dyDescent="0.25">
      <c r="B45" s="12"/>
      <c r="E45" s="18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E47" s="17"/>
      <c r="F47" s="6">
        <v>1</v>
      </c>
      <c r="T47" s="6" t="s">
        <v>111</v>
      </c>
    </row>
    <row r="48" spans="1:26" s="6" customFormat="1" x14ac:dyDescent="0.25">
      <c r="B48" s="12" t="s">
        <v>169</v>
      </c>
      <c r="D48" s="6">
        <f>A48</f>
        <v>0</v>
      </c>
      <c r="E48" s="17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17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17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  <c r="E51" s="17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E53" s="17"/>
      <c r="F53" s="6">
        <v>1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17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17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17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  <c r="E57" s="17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E59" s="17"/>
      <c r="F59" s="6">
        <v>1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17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17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17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  <c r="E63" s="17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E65" s="17"/>
      <c r="F65" s="6">
        <v>1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17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17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17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  <c r="E69" s="17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E71" s="17"/>
      <c r="F71" s="6">
        <v>1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17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17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17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  <c r="E75" s="17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E77" s="17"/>
      <c r="F77" s="6">
        <v>1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17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17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17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  <c r="E81" s="17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E83" s="17"/>
      <c r="F83" s="6">
        <v>1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17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17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17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  <c r="E87" s="17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E89" s="17"/>
      <c r="F89" s="6">
        <v>1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17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17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17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E95" s="17"/>
      <c r="F95" s="6">
        <v>1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17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17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17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E101" s="17"/>
      <c r="F101" s="6">
        <v>1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17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17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17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E107" s="17"/>
      <c r="F107" s="6">
        <v>1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17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17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17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E113" s="17"/>
      <c r="F113" s="6">
        <v>0.3</v>
      </c>
      <c r="L113" s="6" t="s">
        <v>261</v>
      </c>
      <c r="M113" s="6" t="b">
        <v>1</v>
      </c>
      <c r="N113" s="6" t="s">
        <v>304</v>
      </c>
      <c r="T113" s="6" t="s">
        <v>111</v>
      </c>
      <c r="V113" s="6">
        <v>190</v>
      </c>
      <c r="X113" s="14" t="s">
        <v>277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17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277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17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304</v>
      </c>
      <c r="T115" s="6" t="s">
        <v>113</v>
      </c>
      <c r="V115" s="6">
        <v>192</v>
      </c>
      <c r="X115" s="14" t="s">
        <v>277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17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304</v>
      </c>
      <c r="S116" s="6" t="s">
        <v>108</v>
      </c>
      <c r="T116" s="6" t="s">
        <v>114</v>
      </c>
      <c r="V116" s="6">
        <v>190</v>
      </c>
      <c r="X116" s="14" t="s">
        <v>277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E119" s="17"/>
      <c r="F119" s="6">
        <v>1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17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17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17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345</v>
      </c>
      <c r="B124" s="6" t="s">
        <v>343</v>
      </c>
      <c r="D124" s="6" t="s">
        <v>345</v>
      </c>
      <c r="E124" s="17">
        <v>150</v>
      </c>
      <c r="F124" s="6">
        <v>0.1</v>
      </c>
      <c r="H124">
        <v>1</v>
      </c>
      <c r="J124">
        <v>50</v>
      </c>
      <c r="L124" s="6" t="s">
        <v>291</v>
      </c>
      <c r="M124" t="b">
        <v>0</v>
      </c>
      <c r="N124" s="6" t="s">
        <v>344</v>
      </c>
      <c r="X124" s="14" t="s">
        <v>277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ignoredErrors>
    <ignoredError sqref="E44" numberStoredAsText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E14" sqref="E14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325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 t="s">
        <v>356</v>
      </c>
      <c r="D9" s="3" t="s">
        <v>76</v>
      </c>
    </row>
    <row r="10" spans="1:4" x14ac:dyDescent="0.25">
      <c r="A10" t="s">
        <v>93</v>
      </c>
      <c r="B10" s="9" t="s">
        <v>96</v>
      </c>
      <c r="C10" t="s">
        <v>360</v>
      </c>
      <c r="D10" t="s">
        <v>366</v>
      </c>
    </row>
    <row r="11" spans="1:4" x14ac:dyDescent="0.25">
      <c r="A11" t="s">
        <v>94</v>
      </c>
      <c r="B11" s="9" t="s">
        <v>97</v>
      </c>
      <c r="C11" t="s">
        <v>362</v>
      </c>
      <c r="D11" t="s">
        <v>367</v>
      </c>
    </row>
    <row r="12" spans="1:4" x14ac:dyDescent="0.25">
      <c r="A12" t="s">
        <v>95</v>
      </c>
      <c r="B12" t="s">
        <v>98</v>
      </c>
      <c r="C12" t="s">
        <v>358</v>
      </c>
      <c r="D12" t="s">
        <v>365</v>
      </c>
    </row>
    <row r="13" spans="1:4" x14ac:dyDescent="0.25">
      <c r="C13" t="s">
        <v>364</v>
      </c>
      <c r="D13" t="s">
        <v>368</v>
      </c>
    </row>
    <row r="14" spans="1:4" x14ac:dyDescent="0.25">
      <c r="C14" t="s">
        <v>370</v>
      </c>
      <c r="D14" t="s">
        <v>371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2024-03-05T10:07:53Z</dcterms:modified>
</cp:coreProperties>
</file>