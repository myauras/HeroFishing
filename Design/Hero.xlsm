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9620407E-E581-422E-B15E-40199C3A7C3A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4" i="10" l="1"/>
  <c r="G43" i="10"/>
  <c r="G42" i="10"/>
  <c r="G6" i="10"/>
  <c r="G13" i="10"/>
  <c r="G14" i="10"/>
  <c r="G12" i="10"/>
  <c r="G7" i="10"/>
  <c r="G8" i="10"/>
  <c r="D114" i="10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38" i="10"/>
  <c r="G37" i="10"/>
  <c r="G36" i="10"/>
  <c r="G32" i="10"/>
  <c r="G31" i="10"/>
  <c r="G30" i="10"/>
  <c r="G26" i="10"/>
  <c r="G25" i="10"/>
  <c r="G24" i="10"/>
  <c r="G20" i="10"/>
  <c r="G19" i="10"/>
  <c r="G18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
Explode: 爆炸特效 [延遲, 碰撞半徑, 生命週期, 波數]</t>
        </r>
      </text>
    </comment>
    <comment ref="R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V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X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  <comment ref="Y2" authorId="0" shapeId="0" xr:uid="{AB0ABF64-0159-48A1-A71D-1207C7B04A2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(</t>
        </r>
        <r>
          <rPr>
            <sz val="9"/>
            <color indexed="81"/>
            <rFont val="細明體"/>
            <family val="3"/>
            <charset val="136"/>
          </rPr>
          <t>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震動幅度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振動頻率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>)</t>
        </r>
      </text>
    </comment>
    <comment ref="Z2" authorId="0" shapeId="0" xr:uid="{2068FB3A-33D4-44B3-9023-3D92BFCD3A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(Specular Color: R,G,B,A,Intensity)
(Rim Color: R,G,B,A,Intensity)
,</t>
        </r>
        <r>
          <rPr>
            <sz val="9"/>
            <color indexed="81"/>
            <rFont val="細明體"/>
            <family val="3"/>
            <charset val="136"/>
          </rPr>
          <t>持續時間</t>
        </r>
      </text>
    </comment>
  </commentList>
</comments>
</file>

<file path=xl/sharedStrings.xml><?xml version="1.0" encoding="utf-8"?>
<sst xmlns="http://schemas.openxmlformats.org/spreadsheetml/2006/main" count="621" uniqueCount="354">
  <si>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</si>
  <si>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</si>
  <si>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</si>
  <si>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</si>
  <si>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</si>
  <si>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</si>
  <si>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</si>
  <si>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</si>
  <si>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</si>
  <si>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</si>
  <si>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</si>
  <si>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</si>
  <si>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</si>
  <si>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</si>
  <si>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</si>
  <si>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</si>
  <si>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</si>
  <si>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</si>
  <si>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</si>
  <si>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</si>
  <si>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</si>
  <si>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</si>
  <si>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</si>
  <si>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</si>
  <si>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</si>
  <si>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</si>
  <si>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</si>
  <si>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</si>
  <si>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</si>
  <si>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</si>
  <si>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</si>
  <si>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</si>
  <si>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</si>
  <si>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</si>
  <si>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</si>
  <si>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</si>
  <si>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</si>
  <si>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</si>
  <si>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</si>
  <si>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</si>
  <si>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</si>
  <si>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</si>
  <si>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</si>
  <si>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</si>
  <si>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</si>
  <si>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</si>
  <si>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</si>
  <si>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</si>
  <si>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</si>
  <si>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</si>
  <si>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</si>
  <si>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</si>
  <si>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</si>
  <si>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</si>
  <si>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</si>
  <si>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</si>
  <si>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</si>
  <si>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</si>
  <si>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</si>
  <si>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</si>
  <si>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</si>
  <si>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</si>
  <si>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</si>
  <si>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</si>
  <si>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</si>
  <si>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</si>
  <si>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</si>
  <si>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</si>
  <si>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</si>
  <si>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</si>
  <si>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</si>
  <si>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</si>
  <si>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</si>
  <si>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</si>
  <si>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</si>
  <si>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</si>
  <si>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</si>
  <si>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</si>
  <si>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</si>
  <si>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</si>
  <si>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</si>
  <si>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</si>
  <si>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</si>
  <si>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</si>
  <si>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</si>
  <si>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</si>
  <si>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</si>
  <si>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</si>
  <si>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</si>
  <si>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</si>
  <si>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</si>
  <si>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</si>
  <si>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</si>
  <si>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</si>
  <si>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</si>
  <si>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</si>
  <si>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</si>
  <si>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</si>
  <si>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</si>
  <si>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</si>
  <si>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</si>
  <si>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</si>
  <si>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</si>
  <si>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</si>
  <si>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</si>
  <si>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</si>
  <si>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</si>
  <si>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</si>
  <si>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</si>
  <si>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</si>
  <si>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</si>
  <si>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</si>
  <si>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</si>
  <si>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</si>
  <si>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</si>
  <si>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</si>
  <si>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</si>
  <si>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</si>
  <si>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</si>
  <si>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</si>
  <si>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</si>
  <si>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</si>
  <si>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</si>
  <si>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</si>
  <si>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</si>
  <si>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</si>
  <si>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</si>
  <si>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</si>
  <si>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</si>
  <si>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</si>
  <si>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</si>
  <si>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</si>
  <si>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</si>
  <si>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</si>
  <si>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</si>
  <si>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</si>
  <si>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</si>
  <si>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</si>
  <si>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</si>
  <si>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</si>
  <si>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</si>
  <si>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</si>
  <si>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</si>
  <si>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</si>
  <si>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</si>
  <si>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</si>
  <si>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</si>
  <si>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</si>
  <si>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</si>
  <si>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</si>
  <si>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</si>
  <si>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</si>
  <si>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</si>
  <si>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</si>
  <si>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</si>
  <si>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</si>
  <si>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</si>
  <si>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</si>
  <si>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</si>
  <si>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</si>
  <si>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</si>
  <si>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</si>
  <si>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</si>
  <si>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</si>
  <si>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</si>
  <si>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</si>
  <si>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</si>
  <si>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</si>
  <si>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</si>
  <si>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</si>
  <si>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</si>
  <si>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</si>
  <si>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</si>
  <si>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</si>
  <si>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</si>
  <si>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</si>
  <si>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</si>
  <si>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</si>
  <si>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</si>
  <si>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</si>
  <si>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</si>
  <si>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</si>
  <si>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</si>
  <si>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</si>
  <si>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</si>
  <si>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</si>
  <si>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</si>
  <si>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</si>
  <si>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</si>
  <si>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</si>
  <si>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</si>
  <si>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</si>
  <si>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</si>
  <si>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</si>
  <si>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</si>
  <si>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</si>
  <si>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</si>
  <si>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</si>
  <si>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</si>
  <si>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</si>
  <si>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</si>
  <si>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</si>
  <si>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</si>
  <si>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</si>
  <si>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</si>
  <si>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</si>
  <si>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</si>
  <si>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</si>
  <si>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</si>
  <si>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</si>
  <si>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</si>
  <si>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</si>
  <si>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</si>
  <si>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</si>
  <si>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</si>
  <si>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</si>
  <si>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</si>
  <si>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</si>
  <si>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</si>
  <si>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</si>
  <si>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</si>
  <si>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</si>
  <si>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</si>
  <si>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</si>
  <si>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</si>
  <si>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</si>
  <si>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</si>
  <si>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</si>
  <si>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</si>
  <si>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</si>
  <si>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</si>
  <si>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</si>
  <si>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</si>
  <si>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</si>
  <si>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</si>
  <si>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</si>
  <si>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</si>
  <si>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</si>
  <si>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</si>
  <si>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</si>
  <si>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</si>
  <si>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</si>
  <si>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</si>
  <si>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</si>
  <si>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</si>
  <si>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</si>
  <si>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</si>
  <si>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</si>
  <si>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</si>
  <si>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</si>
  <si>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</si>
  <si>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</si>
  <si>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</si>
  <si>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</si>
  <si>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</si>
  <si>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</si>
  <si>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</si>
  <si>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</si>
  <si>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</si>
  <si>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</si>
  <si>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</si>
  <si>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</si>
  <si>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</si>
  <si>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</si>
  <si>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</si>
  <si>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</si>
  <si>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</si>
  <si>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</si>
  <si>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</si>
  <si>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</si>
  <si>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</si>
  <si>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</si>
  <si>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</si>
  <si>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</si>
  <si>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</si>
  <si>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</si>
  <si>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</si>
  <si>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</si>
  <si>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</si>
  <si>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</si>
  <si>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</si>
  <si>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</si>
  <si>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</si>
  <si>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</si>
  <si>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</si>
  <si>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</si>
  <si>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</si>
  <si>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</si>
  <si>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</si>
  <si>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</si>
  <si>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</si>
  <si>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</si>
  <si>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</si>
  <si>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</si>
  <si>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</si>
  <si>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</si>
  <si>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</si>
  <si>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</si>
  <si>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</si>
  <si>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</si>
  <si>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</si>
  <si>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</si>
  <si>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</si>
  <si>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</si>
  <si>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</si>
  <si>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ashe_classic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</si>
  <si>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</si>
  <si>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</si>
  <si>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</si>
  <si>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</si>
  <si>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</si>
  <si>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</si>
  <si>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</si>
  <si>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</si>
  <si>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</si>
  <si>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</si>
  <si>
    <t>0,0.5,2,1</t>
    <phoneticPr fontId="1" type="noConversion"/>
  </si>
  <si>
    <t>2,1,2.3,0.3,1,0.05</t>
    <phoneticPr fontId="1" type="noConversion"/>
  </si>
  <si>
    <t>12,18,191,255,3,1.2,1,-1.29,0</t>
    <phoneticPr fontId="1" type="noConversion"/>
  </si>
  <si>
    <t>相機震動參數</t>
    <phoneticPr fontId="1" type="noConversion"/>
  </si>
  <si>
    <t>0,2,2,1.5</t>
    <phoneticPr fontId="1" type="noConversion"/>
  </si>
  <si>
    <t>0.5,2,2,1</t>
    <phoneticPr fontId="1" type="noConversion"/>
  </si>
  <si>
    <t>CameraShakeSettings</t>
    <phoneticPr fontId="1" type="noConversion"/>
  </si>
  <si>
    <t>HeroShaderSettings</t>
    <phoneticPr fontId="1" type="noConversion"/>
  </si>
  <si>
    <t>英雄shader設定</t>
    <phoneticPr fontId="1" type="noConversion"/>
  </si>
  <si>
    <t>2,0.8,3.5,0.6,0.75,2</t>
    <phoneticPr fontId="1" type="noConversion"/>
  </si>
  <si>
    <t>Mirana_t_01</t>
    <phoneticPr fontId="1" type="noConversion"/>
  </si>
  <si>
    <t>..\..\HeroFishingServer\Realm\mymodule\JsonData\</t>
    <phoneticPr fontId="1" type="noConversion"/>
  </si>
  <si>
    <t>2_attack</t>
    <phoneticPr fontId="1" type="noConversion"/>
  </si>
  <si>
    <t>2_spell1</t>
    <phoneticPr fontId="1" type="noConversion"/>
  </si>
  <si>
    <t>2_spell2</t>
    <phoneticPr fontId="1" type="noConversion"/>
  </si>
  <si>
    <t>2_spell3</t>
    <phoneticPr fontId="1" type="noConversion"/>
  </si>
  <si>
    <t>2_1</t>
    <phoneticPr fontId="1" type="noConversion"/>
  </si>
  <si>
    <t>伊澤瑞爾_經典</t>
    <phoneticPr fontId="1" type="noConversion"/>
  </si>
  <si>
    <t>Ezreal_t_01</t>
    <phoneticPr fontId="1" type="noConversion"/>
  </si>
  <si>
    <t>5,0.4,20,2,0</t>
    <phoneticPr fontId="1" type="noConversion"/>
  </si>
  <si>
    <t>Explode</t>
    <phoneticPr fontId="1" type="noConversion"/>
  </si>
  <si>
    <t>191,136,37,255,3,1.2,1,-1.29,0</t>
    <phoneticPr fontId="1" type="noConversion"/>
  </si>
  <si>
    <t>32,183,109,255,3,1.2,1,-1.29,0</t>
    <phoneticPr fontId="1" type="noConversion"/>
  </si>
  <si>
    <t>5,0.4,20,2,0.3</t>
    <phoneticPr fontId="1" type="noConversion"/>
  </si>
  <si>
    <t>5,0.8,15,2,0.3</t>
    <phoneticPr fontId="1" type="noConversion"/>
  </si>
  <si>
    <t>0, 1.8, 0.85,1</t>
    <phoneticPr fontId="1" type="noConversion"/>
  </si>
  <si>
    <t>5,3,30,2,1</t>
    <phoneticPr fontId="1" type="noConversion"/>
  </si>
  <si>
    <t>1,2,2,0.5</t>
    <phoneticPr fontId="1" type="noConversion"/>
  </si>
  <si>
    <t>68,82,191,255,1.5,9,21,191,255,4.6,1.8</t>
    <phoneticPr fontId="1" type="noConversion"/>
  </si>
  <si>
    <t>黑暗衝擊波</t>
    <phoneticPr fontId="1" type="noConversion"/>
  </si>
  <si>
    <t>2,1,1,0,0,1</t>
    <phoneticPr fontId="1" type="noConversion"/>
  </si>
  <si>
    <t>15_drop_spell</t>
    <phoneticPr fontId="1" type="noConversion"/>
  </si>
  <si>
    <t>10,15,20,25</t>
    <phoneticPr fontId="1" type="noConversion"/>
  </si>
  <si>
    <t>10,15</t>
    <phoneticPr fontId="1" type="noConversion"/>
  </si>
  <si>
    <t>15,20,25,30</t>
    <phoneticPr fontId="1" type="noConversion"/>
  </si>
  <si>
    <t>20,25,30,35</t>
    <phoneticPr fontId="1" type="noConversion"/>
  </si>
  <si>
    <t>80,85</t>
    <phoneticPr fontId="1" type="noConversion"/>
  </si>
  <si>
    <t>100, 110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</si>
</sst>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9" fillId="0" borderId="0"/>
    <xf numFmtId="0" fontId="10" fillId="0" borderId="0">
      <alignment vertical="center"/>
    </xf>
    <xf numFmtId="43" fontId="9" fillId="0" borderId="0" applyFont="0" applyFill="0" applyBorder="0" applyAlignment="0" applyProtection="0">
      <alignment vertical="center"/>
    </xf>
  </cellStyleXfs>
  <cellXfs count="16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  <xf numFmtId="43" fontId="0" fillId="0" borderId="0" xfId="3" applyFont="1" applyAlignment="1">
      <alignment horizontal="center" vertical="center"/>
    </xf>
  </cellXfs>
  <cellStyles count="4">
    <cellStyle name="Excel Built-in Normal" xfId="2" xr:uid="{00000000-0005-0000-0000-000000000000}"/>
    <cellStyle name="一般" xfId="0" builtinId="0"/>
    <cellStyle name="一般 2" xfId="1" xr:uid="{00000000-0005-0000-0000-000002000000}"/>
    <cellStyle name="千分位" xfId="3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5" sqref="A5"/>
    </sheetView>
  </sheetViews>
  <sheetFormatPr defaultColWidth="10.42578125" defaultRowHeight="15.75" x14ac:dyDescent="0.2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 x14ac:dyDescent="0.25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 x14ac:dyDescent="0.25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 x14ac:dyDescent="0.25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 x14ac:dyDescent="0.25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 x14ac:dyDescent="0.25"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  <c r="G7" s="6">
        <v>4</v>
      </c>
    </row>
    <row r="8" spans="1:8" s="6" customFormat="1" x14ac:dyDescent="0.25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 x14ac:dyDescent="0.25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 x14ac:dyDescent="0.25">
      <c r="A10" s="6">
        <v>7</v>
      </c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</row>
    <row r="11" spans="1:8" s="6" customFormat="1" x14ac:dyDescent="0.25"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  <c r="G11" s="6">
        <v>8</v>
      </c>
    </row>
    <row r="12" spans="1:8" s="6" customFormat="1" x14ac:dyDescent="0.25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 x14ac:dyDescent="0.25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 x14ac:dyDescent="0.25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 x14ac:dyDescent="0.25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 x14ac:dyDescent="0.25"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  <c r="G16" s="6">
        <v>13</v>
      </c>
    </row>
    <row r="17" spans="1:7" s="6" customFormat="1" x14ac:dyDescent="0.25"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  <c r="G17" s="6">
        <v>14</v>
      </c>
    </row>
    <row r="18" spans="1:7" s="6" customFormat="1" x14ac:dyDescent="0.25"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  <c r="G18" s="6">
        <v>15</v>
      </c>
    </row>
    <row r="19" spans="1:7" x14ac:dyDescent="0.25">
      <c r="B19" s="12" t="s">
        <v>211</v>
      </c>
      <c r="C19" s="6" t="s">
        <v>200</v>
      </c>
      <c r="D19" s="6" t="s">
        <v>287</v>
      </c>
      <c r="E19" s="6" t="s">
        <v>134</v>
      </c>
      <c r="F19" s="6" t="s">
        <v>249</v>
      </c>
      <c r="G19" s="6">
        <v>16</v>
      </c>
    </row>
    <row r="20" spans="1:7" s="6" customFormat="1" x14ac:dyDescent="0.25"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  <c r="G20" s="6">
        <v>17</v>
      </c>
    </row>
    <row r="21" spans="1:7" s="6" customFormat="1" x14ac:dyDescent="0.25"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  <c r="G21" s="6">
        <v>18</v>
      </c>
    </row>
    <row r="22" spans="1:7" s="6" customFormat="1" x14ac:dyDescent="0.25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7" s="6" customFormat="1" x14ac:dyDescent="0.25"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  <c r="G23" s="6">
        <v>20</v>
      </c>
    </row>
    <row r="24" spans="1:7" s="6" customFormat="1" x14ac:dyDescent="0.25">
      <c r="B24" s="12"/>
    </row>
    <row r="26" spans="1:7" x14ac:dyDescent="0.25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1"/>
  <sheetViews>
    <sheetView workbookViewId="0">
      <selection activeCell="D6" sqref="D6"/>
    </sheetView>
  </sheetViews>
  <sheetFormatPr defaultColWidth="10.42578125" defaultRowHeight="15.75" x14ac:dyDescent="0.25"/>
  <cols>
    <col min="1" max="1" width="10.42578125" style="6"/>
    <col min="2" max="2" width="18.140625" style="6" customWidth="1"/>
    <col min="3" max="3" width="16.7109375" customWidth="1"/>
    <col min="4" max="4" width="21.140625" customWidth="1"/>
  </cols>
  <sheetData>
    <row r="1" spans="1:4" s="7" customFormat="1" x14ac:dyDescent="0.25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 x14ac:dyDescent="0.25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 x14ac:dyDescent="0.25">
      <c r="A4" s="6" t="s">
        <v>269</v>
      </c>
      <c r="B4" s="12" t="s">
        <v>270</v>
      </c>
      <c r="C4" s="6" t="s">
        <v>271</v>
      </c>
      <c r="D4" s="6" t="s">
        <v>276</v>
      </c>
    </row>
    <row r="5" spans="1:4" s="6" customFormat="1" x14ac:dyDescent="0.25">
      <c r="A5" s="6" t="s">
        <v>332</v>
      </c>
      <c r="B5" s="12" t="s">
        <v>333</v>
      </c>
      <c r="C5" s="6" t="s">
        <v>140</v>
      </c>
      <c r="D5" s="6" t="s">
        <v>334</v>
      </c>
    </row>
    <row r="6" spans="1:4" s="6" customFormat="1" x14ac:dyDescent="0.25">
      <c r="A6" s="6" t="s">
        <v>302</v>
      </c>
      <c r="B6" s="12" t="s">
        <v>303</v>
      </c>
      <c r="C6" s="6" t="s">
        <v>304</v>
      </c>
      <c r="D6" s="6" t="s">
        <v>326</v>
      </c>
    </row>
    <row r="8" spans="1:4" s="6" customFormat="1" x14ac:dyDescent="0.25">
      <c r="A8" s="6" t="s">
        <v>229</v>
      </c>
      <c r="B8" s="12" t="s">
        <v>255</v>
      </c>
      <c r="C8" s="6" t="s">
        <v>250</v>
      </c>
      <c r="D8" s="6" t="s">
        <v>305</v>
      </c>
    </row>
    <row r="9" spans="1:4" s="6" customFormat="1" x14ac:dyDescent="0.25">
      <c r="A9" s="6" t="s">
        <v>242</v>
      </c>
      <c r="B9" s="12" t="s">
        <v>256</v>
      </c>
      <c r="C9" s="6" t="s">
        <v>250</v>
      </c>
      <c r="D9" s="6" t="s">
        <v>277</v>
      </c>
    </row>
    <row r="11" spans="1:4" x14ac:dyDescent="0.25">
      <c r="A11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Z125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44" sqref="E44"/>
    </sheetView>
  </sheetViews>
  <sheetFormatPr defaultColWidth="10.42578125" defaultRowHeight="15.75" x14ac:dyDescent="0.25"/>
  <cols>
    <col min="1" max="1" width="10.42578125" style="6" customWidth="1"/>
    <col min="2" max="2" width="18" style="6" customWidth="1"/>
    <col min="3" max="3" width="24.42578125" style="6" customWidth="1"/>
    <col min="4" max="4" width="12.7109375" customWidth="1"/>
    <col min="5" max="5" width="13.7109375" customWidth="1"/>
    <col min="6" max="6" width="6.5703125" customWidth="1"/>
    <col min="7" max="7" width="10.5703125" customWidth="1"/>
    <col min="8" max="8" width="10.2851562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9.140625" customWidth="1"/>
    <col min="15" max="15" width="15" customWidth="1"/>
    <col min="16" max="16" width="17.28515625" customWidth="1"/>
    <col min="17" max="17" width="18" customWidth="1"/>
    <col min="18" max="18" width="19.140625" customWidth="1"/>
    <col min="19" max="19" width="14.140625" customWidth="1"/>
    <col min="22" max="23" width="15" customWidth="1"/>
    <col min="24" max="24" width="32.42578125" customWidth="1"/>
    <col min="25" max="25" width="28.140625" customWidth="1"/>
    <col min="26" max="26" width="34.140625" customWidth="1"/>
  </cols>
  <sheetData>
    <row r="1" spans="1:26" s="7" customFormat="1" x14ac:dyDescent="0.25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313</v>
      </c>
      <c r="J1" s="7" t="s">
        <v>314</v>
      </c>
      <c r="K1" s="7" t="s">
        <v>294</v>
      </c>
      <c r="L1" s="7" t="s">
        <v>239</v>
      </c>
      <c r="M1" s="7" t="s">
        <v>288</v>
      </c>
      <c r="N1" s="7" t="s">
        <v>265</v>
      </c>
      <c r="O1" s="7" t="s">
        <v>260</v>
      </c>
      <c r="P1" s="7" t="s">
        <v>257</v>
      </c>
      <c r="Q1" s="7" t="s">
        <v>308</v>
      </c>
      <c r="R1" s="7" t="s">
        <v>310</v>
      </c>
      <c r="S1" s="7" t="s">
        <v>110</v>
      </c>
      <c r="T1" s="7" t="s">
        <v>240</v>
      </c>
      <c r="U1" s="7" t="s">
        <v>106</v>
      </c>
      <c r="V1" s="7" t="s">
        <v>266</v>
      </c>
      <c r="W1" s="7" t="s">
        <v>290</v>
      </c>
      <c r="X1" s="7" t="s">
        <v>280</v>
      </c>
      <c r="Y1" s="7" t="s">
        <v>322</v>
      </c>
      <c r="Z1" s="7" t="s">
        <v>323</v>
      </c>
    </row>
    <row r="2" spans="1:26" s="7" customFormat="1" x14ac:dyDescent="0.25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301</v>
      </c>
      <c r="J2" s="7" t="s">
        <v>315</v>
      </c>
      <c r="K2" s="7" t="s">
        <v>295</v>
      </c>
      <c r="L2" s="7" t="s">
        <v>263</v>
      </c>
      <c r="M2" s="7" t="s">
        <v>289</v>
      </c>
      <c r="N2" s="7" t="s">
        <v>264</v>
      </c>
      <c r="O2" s="7" t="s">
        <v>258</v>
      </c>
      <c r="P2" s="7" t="s">
        <v>259</v>
      </c>
      <c r="Q2" s="7" t="s">
        <v>309</v>
      </c>
      <c r="R2" s="7" t="s">
        <v>311</v>
      </c>
      <c r="S2" s="7" t="s">
        <v>109</v>
      </c>
      <c r="T2" s="7" t="s">
        <v>105</v>
      </c>
      <c r="U2" s="7" t="s">
        <v>107</v>
      </c>
      <c r="V2" s="7" t="s">
        <v>267</v>
      </c>
      <c r="W2" s="7" t="s">
        <v>291</v>
      </c>
      <c r="X2" s="7" t="s">
        <v>278</v>
      </c>
      <c r="Y2" s="7" t="s">
        <v>319</v>
      </c>
      <c r="Z2" s="7" t="s">
        <v>324</v>
      </c>
    </row>
    <row r="3" spans="1:26" x14ac:dyDescent="0.25">
      <c r="B3" s="12"/>
    </row>
    <row r="4" spans="1:26" x14ac:dyDescent="0.25">
      <c r="B4" s="7" t="s">
        <v>90</v>
      </c>
    </row>
    <row r="5" spans="1:26" s="6" customFormat="1" x14ac:dyDescent="0.25">
      <c r="A5" s="6" t="s">
        <v>272</v>
      </c>
      <c r="B5" s="12" t="s">
        <v>99</v>
      </c>
      <c r="D5" s="6" t="str">
        <f>A5</f>
        <v>1_attack</v>
      </c>
      <c r="F5" s="6">
        <v>0.3</v>
      </c>
      <c r="H5" s="6">
        <v>1</v>
      </c>
      <c r="I5" s="6">
        <v>1</v>
      </c>
      <c r="J5" s="6">
        <v>1</v>
      </c>
      <c r="L5" s="6" t="s">
        <v>261</v>
      </c>
      <c r="M5" s="6" t="b">
        <v>1</v>
      </c>
      <c r="N5" s="6" t="s">
        <v>335</v>
      </c>
      <c r="T5" s="6" t="s">
        <v>111</v>
      </c>
      <c r="V5" s="6">
        <v>10</v>
      </c>
      <c r="X5" s="14" t="s">
        <v>281</v>
      </c>
    </row>
    <row r="6" spans="1:26" s="6" customFormat="1" x14ac:dyDescent="0.25">
      <c r="A6" s="6" t="s">
        <v>273</v>
      </c>
      <c r="B6" s="12" t="s">
        <v>100</v>
      </c>
      <c r="D6" s="6" t="str">
        <f>A6</f>
        <v>1_spell1</v>
      </c>
      <c r="E6" s="6" t="s">
        <v>348</v>
      </c>
      <c r="F6" s="6">
        <v>5</v>
      </c>
      <c r="G6" s="6">
        <f>ROUND((_xlfn.TEXTBEFORE(E6,",")/10)*(100/20),0)</f>
        <v>5</v>
      </c>
      <c r="H6" s="6">
        <v>1</v>
      </c>
      <c r="I6" s="6">
        <v>4</v>
      </c>
      <c r="J6" s="6">
        <v>4</v>
      </c>
      <c r="K6" s="6" t="s">
        <v>296</v>
      </c>
      <c r="L6" s="6" t="s">
        <v>261</v>
      </c>
      <c r="M6" s="6" t="b">
        <v>1</v>
      </c>
      <c r="N6" s="6" t="s">
        <v>335</v>
      </c>
      <c r="O6" s="6" t="s">
        <v>187</v>
      </c>
      <c r="P6" s="6" t="s">
        <v>292</v>
      </c>
      <c r="T6" s="6" t="s">
        <v>112</v>
      </c>
      <c r="V6" s="6">
        <v>11</v>
      </c>
      <c r="W6" s="6">
        <v>1</v>
      </c>
      <c r="X6" s="14" t="s">
        <v>281</v>
      </c>
    </row>
    <row r="7" spans="1:26" s="6" customFormat="1" x14ac:dyDescent="0.25">
      <c r="A7" s="6" t="s">
        <v>274</v>
      </c>
      <c r="B7" s="12" t="s">
        <v>101</v>
      </c>
      <c r="D7" s="6" t="str">
        <f>A7</f>
        <v>1_spell2</v>
      </c>
      <c r="E7" s="6" t="s">
        <v>348</v>
      </c>
      <c r="F7" s="6">
        <v>5</v>
      </c>
      <c r="G7" s="6">
        <f t="shared" ref="G7:G8" si="0">ROUND((_xlfn.TEXTBEFORE(E7,",")/10)*(100/20),0)</f>
        <v>5</v>
      </c>
      <c r="H7" s="6">
        <v>5</v>
      </c>
      <c r="I7" s="6">
        <v>5</v>
      </c>
      <c r="J7" s="6">
        <v>25</v>
      </c>
      <c r="K7" s="6" t="s">
        <v>297</v>
      </c>
      <c r="L7" s="6" t="s">
        <v>293</v>
      </c>
      <c r="M7" s="6" t="b">
        <v>0</v>
      </c>
      <c r="N7" s="6" t="s">
        <v>299</v>
      </c>
      <c r="T7" s="6" t="s">
        <v>113</v>
      </c>
      <c r="V7" s="6">
        <v>12</v>
      </c>
      <c r="X7" s="14" t="s">
        <v>281</v>
      </c>
    </row>
    <row r="8" spans="1:26" s="6" customFormat="1" x14ac:dyDescent="0.25">
      <c r="A8" s="6" t="s">
        <v>275</v>
      </c>
      <c r="B8" s="12" t="s">
        <v>102</v>
      </c>
      <c r="D8" s="6" t="str">
        <f>A8</f>
        <v>1_spell3</v>
      </c>
      <c r="E8" s="6" t="s">
        <v>349</v>
      </c>
      <c r="F8" s="6">
        <v>5</v>
      </c>
      <c r="G8" s="6">
        <f t="shared" si="0"/>
        <v>5</v>
      </c>
      <c r="H8" s="6">
        <v>10</v>
      </c>
      <c r="I8" s="6">
        <v>10</v>
      </c>
      <c r="J8" s="6">
        <v>100</v>
      </c>
      <c r="K8" s="6" t="s">
        <v>296</v>
      </c>
      <c r="L8" s="6" t="s">
        <v>298</v>
      </c>
      <c r="M8" s="6" t="b">
        <v>0</v>
      </c>
      <c r="N8" s="6" t="s">
        <v>300</v>
      </c>
      <c r="S8" s="6" t="s">
        <v>108</v>
      </c>
      <c r="T8" s="6" t="s">
        <v>114</v>
      </c>
      <c r="V8" s="6">
        <v>13</v>
      </c>
      <c r="X8" s="14" t="s">
        <v>281</v>
      </c>
      <c r="Y8" s="6" t="s">
        <v>320</v>
      </c>
    </row>
    <row r="9" spans="1:26" x14ac:dyDescent="0.25">
      <c r="B9" s="12"/>
      <c r="X9" s="6"/>
    </row>
    <row r="10" spans="1:26" x14ac:dyDescent="0.25">
      <c r="B10" s="7" t="s">
        <v>118</v>
      </c>
      <c r="X10" s="6"/>
    </row>
    <row r="11" spans="1:26" s="6" customFormat="1" x14ac:dyDescent="0.25">
      <c r="A11" s="6" t="s">
        <v>328</v>
      </c>
      <c r="B11" s="12" t="s">
        <v>99</v>
      </c>
      <c r="D11" s="6" t="str">
        <f>A11</f>
        <v>2_attack</v>
      </c>
      <c r="F11" s="6">
        <v>0.3</v>
      </c>
      <c r="H11" s="6">
        <v>1</v>
      </c>
      <c r="I11" s="6">
        <v>1</v>
      </c>
      <c r="J11" s="6">
        <v>1</v>
      </c>
      <c r="L11" s="6" t="s">
        <v>261</v>
      </c>
      <c r="M11" s="6" t="b">
        <v>1</v>
      </c>
      <c r="N11" s="6" t="s">
        <v>335</v>
      </c>
      <c r="T11" s="6" t="s">
        <v>111</v>
      </c>
      <c r="V11" s="6">
        <v>20</v>
      </c>
      <c r="X11" s="14" t="s">
        <v>337</v>
      </c>
    </row>
    <row r="12" spans="1:26" s="6" customFormat="1" x14ac:dyDescent="0.25">
      <c r="A12" s="6" t="s">
        <v>329</v>
      </c>
      <c r="B12" s="12" t="s">
        <v>151</v>
      </c>
      <c r="D12" s="6" t="str">
        <f>A12</f>
        <v>2_spell1</v>
      </c>
      <c r="E12" s="6" t="s">
        <v>350</v>
      </c>
      <c r="F12" s="6">
        <v>5</v>
      </c>
      <c r="G12" s="6">
        <f t="shared" ref="G12:G14" si="1">ROUND((_xlfn.TEXTBEFORE(E12,",")/10)*(100/20),0)</f>
        <v>8</v>
      </c>
      <c r="H12" s="6">
        <v>1</v>
      </c>
      <c r="I12" s="6">
        <v>10</v>
      </c>
      <c r="J12" s="6">
        <v>10</v>
      </c>
      <c r="L12" s="6" t="s">
        <v>261</v>
      </c>
      <c r="M12" s="6" t="b">
        <v>0</v>
      </c>
      <c r="N12" s="6" t="s">
        <v>339</v>
      </c>
      <c r="T12" s="6" t="s">
        <v>112</v>
      </c>
      <c r="V12" s="6">
        <v>21</v>
      </c>
      <c r="X12" s="14" t="s">
        <v>338</v>
      </c>
    </row>
    <row r="13" spans="1:26" s="6" customFormat="1" x14ac:dyDescent="0.25">
      <c r="A13" s="6" t="s">
        <v>330</v>
      </c>
      <c r="B13" s="12" t="s">
        <v>152</v>
      </c>
      <c r="D13" s="6" t="str">
        <f>A13</f>
        <v>2_spell2</v>
      </c>
      <c r="E13" s="6" t="s">
        <v>351</v>
      </c>
      <c r="F13" s="6">
        <v>5</v>
      </c>
      <c r="G13" s="6">
        <f t="shared" si="1"/>
        <v>10</v>
      </c>
      <c r="H13" s="6">
        <v>1</v>
      </c>
      <c r="I13" s="6">
        <v>10</v>
      </c>
      <c r="J13" s="6">
        <v>10</v>
      </c>
      <c r="L13" s="6" t="s">
        <v>261</v>
      </c>
      <c r="M13" s="6" t="b">
        <v>1</v>
      </c>
      <c r="N13" s="6" t="s">
        <v>340</v>
      </c>
      <c r="O13" s="6" t="s">
        <v>336</v>
      </c>
      <c r="P13" s="6" t="s">
        <v>341</v>
      </c>
      <c r="T13" s="6" t="s">
        <v>113</v>
      </c>
      <c r="V13" s="6">
        <v>22</v>
      </c>
      <c r="W13" s="6">
        <v>1</v>
      </c>
      <c r="X13" s="14" t="s">
        <v>337</v>
      </c>
    </row>
    <row r="14" spans="1:26" s="6" customFormat="1" x14ac:dyDescent="0.25">
      <c r="A14" s="6" t="s">
        <v>331</v>
      </c>
      <c r="B14" s="12" t="s">
        <v>153</v>
      </c>
      <c r="D14" s="6" t="str">
        <f>A14</f>
        <v>2_spell3</v>
      </c>
      <c r="E14" s="6" t="s">
        <v>352</v>
      </c>
      <c r="F14" s="6">
        <v>5</v>
      </c>
      <c r="G14" s="6">
        <f t="shared" si="1"/>
        <v>40</v>
      </c>
      <c r="H14" s="6">
        <v>1</v>
      </c>
      <c r="I14" s="6">
        <v>10</v>
      </c>
      <c r="J14" s="6">
        <v>20</v>
      </c>
      <c r="L14" s="6" t="s">
        <v>261</v>
      </c>
      <c r="M14" s="6" t="b">
        <v>0</v>
      </c>
      <c r="N14" s="6" t="s">
        <v>342</v>
      </c>
      <c r="S14" s="6" t="s">
        <v>108</v>
      </c>
      <c r="T14" s="6" t="s">
        <v>114</v>
      </c>
      <c r="V14" s="6">
        <v>23</v>
      </c>
      <c r="X14" s="14" t="s">
        <v>337</v>
      </c>
      <c r="Y14" s="6" t="s">
        <v>343</v>
      </c>
    </row>
    <row r="15" spans="1:26" s="6" customFormat="1" x14ac:dyDescent="0.25">
      <c r="B15" s="12"/>
    </row>
    <row r="16" spans="1:26" x14ac:dyDescent="0.25">
      <c r="B16" s="7" t="s">
        <v>120</v>
      </c>
      <c r="F16" s="6"/>
      <c r="G16" s="6"/>
    </row>
    <row r="17" spans="2:20" s="6" customFormat="1" x14ac:dyDescent="0.25">
      <c r="B17" s="12" t="s">
        <v>99</v>
      </c>
      <c r="D17" s="6">
        <f>A17</f>
        <v>0</v>
      </c>
      <c r="F17" s="6">
        <v>1</v>
      </c>
      <c r="T17" s="6" t="s">
        <v>111</v>
      </c>
    </row>
    <row r="18" spans="2:20" s="6" customFormat="1" x14ac:dyDescent="0.25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O18" s="6" t="s">
        <v>241</v>
      </c>
      <c r="P18" s="6">
        <v>30</v>
      </c>
      <c r="T18" s="6" t="s">
        <v>112</v>
      </c>
    </row>
    <row r="19" spans="2:20" s="6" customFormat="1" x14ac:dyDescent="0.25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T19" s="6" t="s">
        <v>113</v>
      </c>
    </row>
    <row r="20" spans="2:20" s="6" customFormat="1" x14ac:dyDescent="0.25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O20" s="6" t="s">
        <v>241</v>
      </c>
      <c r="P20" s="6">
        <v>50</v>
      </c>
      <c r="S20" s="6" t="s">
        <v>108</v>
      </c>
      <c r="T20" s="6" t="s">
        <v>114</v>
      </c>
    </row>
    <row r="21" spans="2:20" s="6" customFormat="1" x14ac:dyDescent="0.25"/>
    <row r="22" spans="2:20" x14ac:dyDescent="0.25">
      <c r="B22" s="7" t="s">
        <v>121</v>
      </c>
    </row>
    <row r="23" spans="2:20" s="6" customFormat="1" x14ac:dyDescent="0.25">
      <c r="B23" s="12" t="s">
        <v>99</v>
      </c>
      <c r="D23" s="6">
        <f>A23</f>
        <v>0</v>
      </c>
      <c r="F23" s="6">
        <v>1</v>
      </c>
      <c r="T23" s="6" t="s">
        <v>111</v>
      </c>
    </row>
    <row r="24" spans="2:20" s="6" customFormat="1" x14ac:dyDescent="0.25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T24" s="6" t="s">
        <v>112</v>
      </c>
    </row>
    <row r="25" spans="2:20" s="6" customFormat="1" x14ac:dyDescent="0.25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T25" s="6" t="s">
        <v>113</v>
      </c>
    </row>
    <row r="26" spans="2:20" s="6" customFormat="1" x14ac:dyDescent="0.25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S26" s="6" t="s">
        <v>108</v>
      </c>
      <c r="T26" s="6" t="s">
        <v>114</v>
      </c>
    </row>
    <row r="27" spans="2:20" s="6" customFormat="1" x14ac:dyDescent="0.25">
      <c r="B27" s="12"/>
    </row>
    <row r="28" spans="2:20" x14ac:dyDescent="0.25">
      <c r="B28" s="7" t="s">
        <v>122</v>
      </c>
    </row>
    <row r="29" spans="2:20" s="6" customFormat="1" x14ac:dyDescent="0.25">
      <c r="B29" s="12" t="s">
        <v>99</v>
      </c>
      <c r="D29" s="6">
        <f>A29</f>
        <v>0</v>
      </c>
      <c r="F29" s="6">
        <v>1</v>
      </c>
      <c r="T29" s="6" t="s">
        <v>111</v>
      </c>
    </row>
    <row r="30" spans="2:20" s="6" customFormat="1" x14ac:dyDescent="0.25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O30" s="6" t="s">
        <v>241</v>
      </c>
      <c r="P30" s="6">
        <v>30</v>
      </c>
      <c r="T30" s="6" t="s">
        <v>112</v>
      </c>
    </row>
    <row r="31" spans="2:20" s="6" customFormat="1" x14ac:dyDescent="0.25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T31" s="6" t="s">
        <v>113</v>
      </c>
    </row>
    <row r="32" spans="2:20" s="6" customFormat="1" x14ac:dyDescent="0.25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O32" s="6" t="s">
        <v>187</v>
      </c>
      <c r="P32" s="6">
        <v>5</v>
      </c>
      <c r="S32" s="6" t="s">
        <v>108</v>
      </c>
      <c r="T32" s="6" t="s">
        <v>114</v>
      </c>
    </row>
    <row r="33" spans="1:26" s="6" customFormat="1" x14ac:dyDescent="0.25">
      <c r="B33" s="12"/>
    </row>
    <row r="34" spans="1:26" x14ac:dyDescent="0.25">
      <c r="B34" s="7" t="s">
        <v>124</v>
      </c>
    </row>
    <row r="35" spans="1:26" s="6" customFormat="1" x14ac:dyDescent="0.25">
      <c r="B35" s="12" t="s">
        <v>99</v>
      </c>
      <c r="D35" s="6">
        <f>A35</f>
        <v>0</v>
      </c>
      <c r="F35" s="6">
        <v>1</v>
      </c>
      <c r="T35" s="6" t="s">
        <v>111</v>
      </c>
    </row>
    <row r="36" spans="1:26" s="6" customFormat="1" x14ac:dyDescent="0.25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T36" s="6" t="s">
        <v>112</v>
      </c>
    </row>
    <row r="37" spans="1:26" s="6" customFormat="1" x14ac:dyDescent="0.25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T37" s="6" t="s">
        <v>113</v>
      </c>
    </row>
    <row r="38" spans="1:26" s="6" customFormat="1" x14ac:dyDescent="0.25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S38" s="6" t="s">
        <v>108</v>
      </c>
      <c r="T38" s="6" t="s">
        <v>114</v>
      </c>
    </row>
    <row r="39" spans="1:26" s="6" customFormat="1" x14ac:dyDescent="0.25">
      <c r="B39" s="12"/>
    </row>
    <row r="40" spans="1:26" x14ac:dyDescent="0.25">
      <c r="B40" s="7" t="s">
        <v>126</v>
      </c>
    </row>
    <row r="41" spans="1:26" s="6" customFormat="1" x14ac:dyDescent="0.25">
      <c r="A41" s="6" t="s">
        <v>282</v>
      </c>
      <c r="B41" s="12" t="s">
        <v>99</v>
      </c>
      <c r="D41" s="6" t="str">
        <f>A41</f>
        <v>7_attack</v>
      </c>
      <c r="F41" s="6">
        <v>0.3</v>
      </c>
      <c r="L41" s="6" t="s">
        <v>261</v>
      </c>
      <c r="M41" s="6" t="b">
        <v>1</v>
      </c>
      <c r="N41" s="6" t="s">
        <v>306</v>
      </c>
      <c r="T41" s="6" t="s">
        <v>286</v>
      </c>
      <c r="V41" s="6">
        <v>70</v>
      </c>
      <c r="X41" s="14" t="s">
        <v>318</v>
      </c>
    </row>
    <row r="42" spans="1:26" s="6" customFormat="1" x14ac:dyDescent="0.25">
      <c r="A42" s="6" t="s">
        <v>283</v>
      </c>
      <c r="B42" s="12" t="s">
        <v>166</v>
      </c>
      <c r="D42" s="6" t="str">
        <f>A42</f>
        <v>7_spell1</v>
      </c>
      <c r="E42" s="6" t="s">
        <v>350</v>
      </c>
      <c r="F42" s="6">
        <v>5</v>
      </c>
      <c r="G42" s="6">
        <f>ROUND((_xlfn.TEXTBEFORE(E42,",")/10)*(100/20),0)</f>
        <v>8</v>
      </c>
      <c r="H42" s="6">
        <v>1</v>
      </c>
      <c r="K42" s="6" t="s">
        <v>297</v>
      </c>
      <c r="L42" s="6" t="s">
        <v>293</v>
      </c>
      <c r="M42" s="6" t="b">
        <v>0</v>
      </c>
      <c r="N42" s="6" t="s">
        <v>317</v>
      </c>
      <c r="T42" s="6" t="s">
        <v>112</v>
      </c>
      <c r="V42" s="6">
        <v>71</v>
      </c>
      <c r="X42" s="14" t="s">
        <v>318</v>
      </c>
    </row>
    <row r="43" spans="1:26" s="6" customFormat="1" x14ac:dyDescent="0.25">
      <c r="A43" s="6" t="s">
        <v>284</v>
      </c>
      <c r="B43" s="12" t="s">
        <v>167</v>
      </c>
      <c r="D43" s="6" t="str">
        <f>A43</f>
        <v>7_spell2</v>
      </c>
      <c r="E43" s="6" t="s">
        <v>350</v>
      </c>
      <c r="F43" s="6">
        <v>5</v>
      </c>
      <c r="G43" s="6">
        <f>ROUND((_xlfn.TEXTBEFORE(E43,",")/10)*(100/20),0)</f>
        <v>8</v>
      </c>
      <c r="K43" s="6" t="s">
        <v>296</v>
      </c>
      <c r="L43" s="6" t="s">
        <v>261</v>
      </c>
      <c r="M43" s="6" t="b">
        <v>0</v>
      </c>
      <c r="N43" s="6" t="s">
        <v>307</v>
      </c>
      <c r="T43" s="6" t="s">
        <v>113</v>
      </c>
      <c r="V43" s="6">
        <v>72</v>
      </c>
      <c r="X43" s="14" t="s">
        <v>318</v>
      </c>
    </row>
    <row r="44" spans="1:26" s="6" customFormat="1" x14ac:dyDescent="0.25">
      <c r="A44" s="6" t="s">
        <v>285</v>
      </c>
      <c r="B44" s="12" t="s">
        <v>168</v>
      </c>
      <c r="D44" s="6" t="str">
        <f>A44</f>
        <v>7_spell3</v>
      </c>
      <c r="E44" s="15" t="s">
        <v>353</v>
      </c>
      <c r="F44" s="6">
        <v>5</v>
      </c>
      <c r="G44" s="6">
        <f>ROUND((_xlfn.TEXTBEFORE(E44,",")/10)*(100/20),0)</f>
        <v>50</v>
      </c>
      <c r="H44" s="6">
        <v>10</v>
      </c>
      <c r="K44" s="6" t="s">
        <v>297</v>
      </c>
      <c r="L44" s="6" t="s">
        <v>293</v>
      </c>
      <c r="M44" s="6" t="b">
        <v>0</v>
      </c>
      <c r="N44" s="6" t="s">
        <v>325</v>
      </c>
      <c r="Q44" s="6" t="s">
        <v>312</v>
      </c>
      <c r="R44" s="6" t="s">
        <v>316</v>
      </c>
      <c r="S44" s="6" t="s">
        <v>108</v>
      </c>
      <c r="T44" s="6" t="s">
        <v>114</v>
      </c>
      <c r="V44" s="6">
        <v>73</v>
      </c>
      <c r="X44" s="14" t="s">
        <v>318</v>
      </c>
      <c r="Y44" s="6" t="s">
        <v>321</v>
      </c>
      <c r="Z44" s="6" t="s">
        <v>344</v>
      </c>
    </row>
    <row r="45" spans="1:26" s="6" customFormat="1" x14ac:dyDescent="0.25">
      <c r="B45" s="12"/>
      <c r="E45" s="15"/>
    </row>
    <row r="46" spans="1:26" x14ac:dyDescent="0.25">
      <c r="B46" s="7" t="s">
        <v>129</v>
      </c>
      <c r="X46" s="6"/>
    </row>
    <row r="47" spans="1:26" s="6" customFormat="1" x14ac:dyDescent="0.25">
      <c r="B47" s="12" t="s">
        <v>99</v>
      </c>
      <c r="D47" s="6">
        <f>A47</f>
        <v>0</v>
      </c>
      <c r="F47" s="6">
        <v>1</v>
      </c>
      <c r="T47" s="6" t="s">
        <v>111</v>
      </c>
    </row>
    <row r="48" spans="1:26" s="6" customFormat="1" x14ac:dyDescent="0.25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T48" s="6" t="s">
        <v>112</v>
      </c>
    </row>
    <row r="49" spans="2:20" s="6" customFormat="1" x14ac:dyDescent="0.25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T49" s="6" t="s">
        <v>113</v>
      </c>
    </row>
    <row r="50" spans="2:20" s="6" customFormat="1" x14ac:dyDescent="0.25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S50" s="6" t="s">
        <v>108</v>
      </c>
      <c r="T50" s="6" t="s">
        <v>114</v>
      </c>
    </row>
    <row r="51" spans="2:20" s="6" customFormat="1" x14ac:dyDescent="0.25">
      <c r="B51" s="12"/>
    </row>
    <row r="52" spans="2:20" x14ac:dyDescent="0.25">
      <c r="B52" s="7" t="s">
        <v>127</v>
      </c>
    </row>
    <row r="53" spans="2:20" s="6" customFormat="1" x14ac:dyDescent="0.25">
      <c r="B53" s="12" t="s">
        <v>99</v>
      </c>
      <c r="D53" s="6">
        <f>A53</f>
        <v>0</v>
      </c>
      <c r="F53" s="6">
        <v>1</v>
      </c>
      <c r="T53" s="6" t="s">
        <v>111</v>
      </c>
    </row>
    <row r="54" spans="2:20" s="6" customFormat="1" x14ac:dyDescent="0.25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T54" s="6" t="s">
        <v>112</v>
      </c>
    </row>
    <row r="55" spans="2:20" s="6" customFormat="1" x14ac:dyDescent="0.25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T55" s="6" t="s">
        <v>113</v>
      </c>
    </row>
    <row r="56" spans="2:20" s="6" customFormat="1" x14ac:dyDescent="0.25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S56" s="6" t="s">
        <v>108</v>
      </c>
      <c r="T56" s="6" t="s">
        <v>114</v>
      </c>
    </row>
    <row r="57" spans="2:20" s="6" customFormat="1" x14ac:dyDescent="0.25">
      <c r="B57" s="12"/>
    </row>
    <row r="58" spans="2:20" x14ac:dyDescent="0.25">
      <c r="B58" s="7" t="s">
        <v>131</v>
      </c>
    </row>
    <row r="59" spans="2:20" s="6" customFormat="1" x14ac:dyDescent="0.25">
      <c r="B59" s="12" t="s">
        <v>99</v>
      </c>
      <c r="D59" s="6">
        <f>A59</f>
        <v>0</v>
      </c>
      <c r="F59" s="6">
        <v>1</v>
      </c>
      <c r="T59" s="6" t="s">
        <v>111</v>
      </c>
    </row>
    <row r="60" spans="2:20" s="6" customFormat="1" x14ac:dyDescent="0.25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T60" s="6" t="s">
        <v>112</v>
      </c>
    </row>
    <row r="61" spans="2:20" s="6" customFormat="1" x14ac:dyDescent="0.25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T61" s="6" t="s">
        <v>113</v>
      </c>
    </row>
    <row r="62" spans="2:20" s="6" customFormat="1" x14ac:dyDescent="0.25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S62" s="6" t="s">
        <v>108</v>
      </c>
      <c r="T62" s="6" t="s">
        <v>114</v>
      </c>
    </row>
    <row r="63" spans="2:20" s="6" customFormat="1" x14ac:dyDescent="0.25">
      <c r="B63" s="12"/>
    </row>
    <row r="64" spans="2:20" x14ac:dyDescent="0.25">
      <c r="B64" s="7" t="s">
        <v>128</v>
      </c>
    </row>
    <row r="65" spans="2:20" s="6" customFormat="1" x14ac:dyDescent="0.25">
      <c r="B65" s="12" t="s">
        <v>99</v>
      </c>
      <c r="D65" s="6">
        <f>A65</f>
        <v>0</v>
      </c>
      <c r="F65" s="6">
        <v>1</v>
      </c>
      <c r="T65" s="6" t="s">
        <v>111</v>
      </c>
    </row>
    <row r="66" spans="2:20" s="6" customFormat="1" x14ac:dyDescent="0.25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T66" s="6" t="s">
        <v>112</v>
      </c>
    </row>
    <row r="67" spans="2:20" s="6" customFormat="1" x14ac:dyDescent="0.25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T67" s="6" t="s">
        <v>113</v>
      </c>
    </row>
    <row r="68" spans="2:20" s="6" customFormat="1" x14ac:dyDescent="0.25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S68" s="6" t="s">
        <v>108</v>
      </c>
      <c r="T68" s="6" t="s">
        <v>114</v>
      </c>
    </row>
    <row r="69" spans="2:20" s="6" customFormat="1" x14ac:dyDescent="0.25">
      <c r="B69" s="12"/>
    </row>
    <row r="70" spans="2:20" x14ac:dyDescent="0.25">
      <c r="B70" s="7" t="s">
        <v>133</v>
      </c>
    </row>
    <row r="71" spans="2:20" s="6" customFormat="1" x14ac:dyDescent="0.25">
      <c r="B71" s="12" t="s">
        <v>99</v>
      </c>
      <c r="D71" s="6">
        <f>A71</f>
        <v>0</v>
      </c>
      <c r="F71" s="6">
        <v>1</v>
      </c>
      <c r="T71" s="6" t="s">
        <v>111</v>
      </c>
    </row>
    <row r="72" spans="2:20" s="6" customFormat="1" x14ac:dyDescent="0.25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T72" s="6" t="s">
        <v>112</v>
      </c>
    </row>
    <row r="73" spans="2:20" s="6" customFormat="1" x14ac:dyDescent="0.25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T73" s="6" t="s">
        <v>113</v>
      </c>
    </row>
    <row r="74" spans="2:20" s="6" customFormat="1" x14ac:dyDescent="0.25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S74" s="6" t="s">
        <v>108</v>
      </c>
      <c r="T74" s="6" t="s">
        <v>114</v>
      </c>
    </row>
    <row r="75" spans="2:20" s="6" customFormat="1" x14ac:dyDescent="0.25">
      <c r="B75" s="12"/>
    </row>
    <row r="76" spans="2:20" x14ac:dyDescent="0.25">
      <c r="B76" s="7" t="s">
        <v>193</v>
      </c>
    </row>
    <row r="77" spans="2:20" s="6" customFormat="1" x14ac:dyDescent="0.25">
      <c r="B77" s="12" t="s">
        <v>99</v>
      </c>
      <c r="D77" s="6">
        <f>A77</f>
        <v>0</v>
      </c>
      <c r="F77" s="6">
        <v>1</v>
      </c>
      <c r="T77" s="6" t="s">
        <v>111</v>
      </c>
    </row>
    <row r="78" spans="2:20" s="6" customFormat="1" x14ac:dyDescent="0.25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T78" s="6" t="s">
        <v>112</v>
      </c>
    </row>
    <row r="79" spans="2:20" s="6" customFormat="1" x14ac:dyDescent="0.25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T79" s="6" t="s">
        <v>113</v>
      </c>
    </row>
    <row r="80" spans="2:20" s="6" customFormat="1" x14ac:dyDescent="0.25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S80" s="6" t="s">
        <v>108</v>
      </c>
      <c r="T80" s="6" t="s">
        <v>114</v>
      </c>
    </row>
    <row r="81" spans="2:20" s="6" customFormat="1" x14ac:dyDescent="0.25">
      <c r="B81" s="12"/>
    </row>
    <row r="82" spans="2:20" x14ac:dyDescent="0.25">
      <c r="B82" s="7" t="s">
        <v>201</v>
      </c>
    </row>
    <row r="83" spans="2:20" s="6" customFormat="1" x14ac:dyDescent="0.25">
      <c r="B83" s="12" t="s">
        <v>99</v>
      </c>
      <c r="D83" s="6">
        <f>A83</f>
        <v>0</v>
      </c>
      <c r="F83" s="6">
        <v>1</v>
      </c>
      <c r="T83" s="6" t="s">
        <v>111</v>
      </c>
    </row>
    <row r="84" spans="2:20" s="6" customFormat="1" x14ac:dyDescent="0.25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T84" s="6" t="s">
        <v>112</v>
      </c>
    </row>
    <row r="85" spans="2:20" s="6" customFormat="1" x14ac:dyDescent="0.25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T85" s="6" t="s">
        <v>113</v>
      </c>
    </row>
    <row r="86" spans="2:20" s="6" customFormat="1" x14ac:dyDescent="0.25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S86" s="6" t="s">
        <v>108</v>
      </c>
      <c r="T86" s="6" t="s">
        <v>114</v>
      </c>
    </row>
    <row r="87" spans="2:20" s="6" customFormat="1" x14ac:dyDescent="0.25">
      <c r="B87" s="12"/>
    </row>
    <row r="88" spans="2:20" x14ac:dyDescent="0.25">
      <c r="B88" s="7" t="s">
        <v>205</v>
      </c>
    </row>
    <row r="89" spans="2:20" s="6" customFormat="1" x14ac:dyDescent="0.25">
      <c r="B89" s="12" t="s">
        <v>99</v>
      </c>
      <c r="D89" s="6">
        <f>A89</f>
        <v>0</v>
      </c>
      <c r="F89" s="6">
        <v>1</v>
      </c>
      <c r="T89" s="6" t="s">
        <v>111</v>
      </c>
    </row>
    <row r="90" spans="2:20" s="6" customFormat="1" x14ac:dyDescent="0.25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O90" s="6" t="s">
        <v>187</v>
      </c>
      <c r="P90" s="6">
        <v>2</v>
      </c>
      <c r="T90" s="6" t="s">
        <v>112</v>
      </c>
    </row>
    <row r="91" spans="2:20" s="6" customFormat="1" x14ac:dyDescent="0.25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T91" s="6" t="s">
        <v>113</v>
      </c>
    </row>
    <row r="92" spans="2:20" s="6" customFormat="1" x14ac:dyDescent="0.25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S92" s="6" t="s">
        <v>108</v>
      </c>
      <c r="T92" s="6" t="s">
        <v>114</v>
      </c>
    </row>
    <row r="94" spans="2:20" x14ac:dyDescent="0.25">
      <c r="B94" s="7" t="s">
        <v>211</v>
      </c>
    </row>
    <row r="95" spans="2:20" s="6" customFormat="1" x14ac:dyDescent="0.25">
      <c r="B95" s="12" t="s">
        <v>99</v>
      </c>
      <c r="D95" s="6">
        <f>A95</f>
        <v>0</v>
      </c>
      <c r="F95" s="6">
        <v>1</v>
      </c>
      <c r="T95" s="6" t="s">
        <v>111</v>
      </c>
    </row>
    <row r="96" spans="2:20" s="6" customFormat="1" x14ac:dyDescent="0.25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T96" s="6" t="s">
        <v>112</v>
      </c>
    </row>
    <row r="97" spans="2:20" s="6" customFormat="1" x14ac:dyDescent="0.25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T97" s="6" t="s">
        <v>113</v>
      </c>
    </row>
    <row r="98" spans="2:20" s="6" customFormat="1" x14ac:dyDescent="0.25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S98" s="6" t="s">
        <v>108</v>
      </c>
      <c r="T98" s="6" t="s">
        <v>114</v>
      </c>
    </row>
    <row r="100" spans="2:20" x14ac:dyDescent="0.25">
      <c r="B100" s="7" t="s">
        <v>215</v>
      </c>
    </row>
    <row r="101" spans="2:20" s="6" customFormat="1" x14ac:dyDescent="0.25">
      <c r="B101" s="12" t="s">
        <v>99</v>
      </c>
      <c r="D101" s="6">
        <f>A101</f>
        <v>0</v>
      </c>
      <c r="F101" s="6">
        <v>1</v>
      </c>
      <c r="T101" s="6" t="s">
        <v>111</v>
      </c>
    </row>
    <row r="102" spans="2:20" s="6" customFormat="1" x14ac:dyDescent="0.25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T102" s="6" t="s">
        <v>112</v>
      </c>
    </row>
    <row r="103" spans="2:20" s="6" customFormat="1" x14ac:dyDescent="0.25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O103" s="6" t="s">
        <v>187</v>
      </c>
      <c r="P103" s="6">
        <v>3</v>
      </c>
      <c r="T103" s="6" t="s">
        <v>113</v>
      </c>
    </row>
    <row r="104" spans="2:20" s="6" customFormat="1" x14ac:dyDescent="0.25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S104" s="6" t="s">
        <v>108</v>
      </c>
      <c r="T104" s="6" t="s">
        <v>114</v>
      </c>
    </row>
    <row r="106" spans="2:20" x14ac:dyDescent="0.25">
      <c r="B106" s="7" t="s">
        <v>220</v>
      </c>
    </row>
    <row r="107" spans="2:20" s="6" customFormat="1" x14ac:dyDescent="0.25">
      <c r="B107" s="12" t="s">
        <v>99</v>
      </c>
      <c r="D107" s="6">
        <f>A107</f>
        <v>0</v>
      </c>
      <c r="F107" s="6">
        <v>1</v>
      </c>
      <c r="T107" s="6" t="s">
        <v>111</v>
      </c>
    </row>
    <row r="108" spans="2:20" s="6" customFormat="1" x14ac:dyDescent="0.25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T108" s="6" t="s">
        <v>112</v>
      </c>
    </row>
    <row r="109" spans="2:20" s="6" customFormat="1" x14ac:dyDescent="0.25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T109" s="6" t="s">
        <v>113</v>
      </c>
    </row>
    <row r="110" spans="2:20" s="6" customFormat="1" x14ac:dyDescent="0.25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S110" s="6" t="s">
        <v>108</v>
      </c>
      <c r="T110" s="6" t="s">
        <v>114</v>
      </c>
    </row>
    <row r="112" spans="2:20" x14ac:dyDescent="0.25">
      <c r="B112" s="7" t="s">
        <v>225</v>
      </c>
    </row>
    <row r="113" spans="1:24" s="6" customFormat="1" x14ac:dyDescent="0.25">
      <c r="A113" s="6" t="s">
        <v>251</v>
      </c>
      <c r="B113" s="12" t="s">
        <v>99</v>
      </c>
      <c r="D113" s="6" t="str">
        <f>A113</f>
        <v>19_attack</v>
      </c>
      <c r="F113" s="6">
        <v>0.3</v>
      </c>
      <c r="L113" s="6" t="s">
        <v>261</v>
      </c>
      <c r="M113" s="6" t="b">
        <v>1</v>
      </c>
      <c r="N113" s="6" t="s">
        <v>306</v>
      </c>
      <c r="T113" s="6" t="s">
        <v>111</v>
      </c>
      <c r="V113" s="6">
        <v>190</v>
      </c>
      <c r="X113" s="14" t="s">
        <v>279</v>
      </c>
    </row>
    <row r="114" spans="1:24" s="6" customFormat="1" x14ac:dyDescent="0.25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L114" s="6" t="s">
        <v>262</v>
      </c>
      <c r="M114" s="6" t="b">
        <v>1</v>
      </c>
      <c r="N114" s="6" t="s">
        <v>268</v>
      </c>
      <c r="T114" s="6" t="s">
        <v>112</v>
      </c>
      <c r="V114" s="6">
        <v>190</v>
      </c>
      <c r="X114" s="14" t="s">
        <v>279</v>
      </c>
    </row>
    <row r="115" spans="1:24" s="6" customFormat="1" x14ac:dyDescent="0.25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L115" s="6" t="s">
        <v>261</v>
      </c>
      <c r="M115" s="6" t="b">
        <v>0</v>
      </c>
      <c r="N115" s="6" t="s">
        <v>306</v>
      </c>
      <c r="T115" s="6" t="s">
        <v>113</v>
      </c>
      <c r="V115" s="6">
        <v>192</v>
      </c>
      <c r="X115" s="14" t="s">
        <v>279</v>
      </c>
    </row>
    <row r="116" spans="1:24" s="6" customFormat="1" x14ac:dyDescent="0.25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L116" s="6" t="s">
        <v>261</v>
      </c>
      <c r="M116" s="6" t="b">
        <v>1</v>
      </c>
      <c r="N116" s="6" t="s">
        <v>306</v>
      </c>
      <c r="S116" s="6" t="s">
        <v>108</v>
      </c>
      <c r="T116" s="6" t="s">
        <v>114</v>
      </c>
      <c r="V116" s="6">
        <v>190</v>
      </c>
      <c r="X116" s="14" t="s">
        <v>279</v>
      </c>
    </row>
    <row r="117" spans="1:24" x14ac:dyDescent="0.25">
      <c r="L117" s="6"/>
      <c r="M117" s="6"/>
      <c r="N117" s="6"/>
    </row>
    <row r="118" spans="1:24" x14ac:dyDescent="0.25">
      <c r="B118" s="7" t="s">
        <v>231</v>
      </c>
    </row>
    <row r="119" spans="1:24" s="6" customFormat="1" x14ac:dyDescent="0.25">
      <c r="B119" s="12" t="s">
        <v>99</v>
      </c>
      <c r="D119" s="6">
        <f>A119</f>
        <v>0</v>
      </c>
      <c r="F119" s="6">
        <v>1</v>
      </c>
      <c r="T119" s="6" t="s">
        <v>111</v>
      </c>
    </row>
    <row r="120" spans="1:24" s="6" customFormat="1" x14ac:dyDescent="0.25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O120" s="6" t="s">
        <v>187</v>
      </c>
      <c r="P120" s="6">
        <v>3</v>
      </c>
      <c r="T120" s="6" t="s">
        <v>112</v>
      </c>
    </row>
    <row r="121" spans="1:24" s="6" customFormat="1" x14ac:dyDescent="0.25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T121" s="6" t="s">
        <v>113</v>
      </c>
    </row>
    <row r="122" spans="1:24" s="6" customFormat="1" x14ac:dyDescent="0.25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S122" s="6" t="s">
        <v>108</v>
      </c>
      <c r="T122" s="6" t="s">
        <v>114</v>
      </c>
    </row>
    <row r="124" spans="1:24" x14ac:dyDescent="0.25">
      <c r="A124" s="6" t="s">
        <v>347</v>
      </c>
      <c r="B124" s="6" t="s">
        <v>345</v>
      </c>
      <c r="D124" s="6" t="s">
        <v>347</v>
      </c>
      <c r="E124" s="6">
        <v>150</v>
      </c>
      <c r="F124" s="6">
        <v>0.1</v>
      </c>
      <c r="H124">
        <v>1</v>
      </c>
      <c r="J124">
        <v>100</v>
      </c>
      <c r="L124" s="6" t="s">
        <v>293</v>
      </c>
      <c r="M124" t="b">
        <v>0</v>
      </c>
      <c r="N124" s="6" t="s">
        <v>346</v>
      </c>
      <c r="X124" s="14" t="s">
        <v>279</v>
      </c>
    </row>
    <row r="125" spans="1:24" x14ac:dyDescent="0.25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4"/>
  <sheetViews>
    <sheetView workbookViewId="0">
      <selection activeCell="A12" sqref="A12"/>
    </sheetView>
  </sheetViews>
  <sheetFormatPr defaultColWidth="10.42578125" defaultRowHeight="15.75" x14ac:dyDescent="0.25"/>
  <cols>
    <col min="1" max="1" width="10.42578125" style="6"/>
    <col min="2" max="2" width="11.42578125" customWidth="1"/>
  </cols>
  <sheetData>
    <row r="1" spans="1:4" s="7" customFormat="1" x14ac:dyDescent="0.25">
      <c r="A1" s="7" t="s">
        <v>79</v>
      </c>
      <c r="B1" s="7" t="s">
        <v>191</v>
      </c>
    </row>
    <row r="2" spans="1:4" s="7" customFormat="1" x14ac:dyDescent="0.25">
      <c r="A2" s="7" t="s">
        <v>80</v>
      </c>
      <c r="B2" s="7" t="s">
        <v>192</v>
      </c>
    </row>
    <row r="4" spans="1:4" s="6" customFormat="1" x14ac:dyDescent="0.25">
      <c r="A4" s="6">
        <v>1</v>
      </c>
      <c r="B4" s="6">
        <v>100</v>
      </c>
    </row>
    <row r="5" spans="1:4" s="6" customFormat="1" x14ac:dyDescent="0.25">
      <c r="A5" s="6">
        <v>2</v>
      </c>
      <c r="B5" s="6">
        <v>200</v>
      </c>
      <c r="D5" s="12"/>
    </row>
    <row r="6" spans="1:4" s="6" customFormat="1" x14ac:dyDescent="0.25">
      <c r="A6" s="6">
        <v>3</v>
      </c>
      <c r="B6" s="6">
        <v>300</v>
      </c>
      <c r="D6" s="12"/>
    </row>
    <row r="7" spans="1:4" x14ac:dyDescent="0.25">
      <c r="A7" s="6">
        <v>4</v>
      </c>
      <c r="B7" s="6">
        <v>400</v>
      </c>
      <c r="D7" s="6"/>
    </row>
    <row r="8" spans="1:4" x14ac:dyDescent="0.25">
      <c r="A8" s="6">
        <v>5</v>
      </c>
      <c r="B8" s="6">
        <v>500</v>
      </c>
      <c r="D8" s="6"/>
    </row>
    <row r="9" spans="1:4" s="6" customFormat="1" x14ac:dyDescent="0.25">
      <c r="A9" s="6">
        <v>6</v>
      </c>
      <c r="B9" s="6">
        <v>600</v>
      </c>
    </row>
    <row r="10" spans="1:4" s="6" customFormat="1" x14ac:dyDescent="0.25">
      <c r="A10" s="6">
        <v>7</v>
      </c>
      <c r="B10" s="6">
        <v>700</v>
      </c>
    </row>
    <row r="11" spans="1:4" s="6" customFormat="1" x14ac:dyDescent="0.25">
      <c r="A11" s="6">
        <v>8</v>
      </c>
      <c r="B11" s="6">
        <v>800</v>
      </c>
    </row>
    <row r="12" spans="1:4" s="6" customFormat="1" x14ac:dyDescent="0.25">
      <c r="A12" s="6">
        <v>9</v>
      </c>
      <c r="B12" s="6">
        <v>900</v>
      </c>
    </row>
    <row r="14" spans="1:4" x14ac:dyDescent="0.25">
      <c r="A14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75</v>
      </c>
    </row>
    <row r="7" spans="1:4" ht="16.5" x14ac:dyDescent="0.25">
      <c r="A7" s="5"/>
    </row>
    <row r="8" spans="1:4" ht="16.5" x14ac:dyDescent="0.25">
      <c r="A8" s="5"/>
    </row>
    <row r="9" spans="1:4" s="1" customFormat="1" x14ac:dyDescent="0.25">
      <c r="A9" s="1" t="s">
        <v>81</v>
      </c>
    </row>
    <row r="10" spans="1:4" s="1" customFormat="1" x14ac:dyDescent="0.25">
      <c r="A10" s="1" t="s">
        <v>0</v>
      </c>
      <c r="B10" s="1" t="s">
        <v>78</v>
      </c>
      <c r="C10" s="1" t="s">
        <v>77</v>
      </c>
      <c r="D10" s="1" t="s">
        <v>76</v>
      </c>
    </row>
    <row r="12" spans="1:4" x14ac:dyDescent="0.25">
      <c r="D12" s="9"/>
    </row>
    <row r="13" spans="1:4" x14ac:dyDescent="0.25">
      <c r="D13" s="9"/>
    </row>
    <row r="15" spans="1:4" x14ac:dyDescent="0.25">
      <c r="D15" s="9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8" t="s">
        <v>28</v>
      </c>
      <c r="B59" s="8" t="s">
        <v>37</v>
      </c>
      <c r="C59" s="8" t="s">
        <v>22</v>
      </c>
      <c r="D59" s="8" t="s">
        <v>52</v>
      </c>
    </row>
    <row r="60" spans="1:13" x14ac:dyDescent="0.25">
      <c r="A60" s="8" t="s">
        <v>29</v>
      </c>
      <c r="B60" s="8" t="s">
        <v>1</v>
      </c>
      <c r="C60" s="8" t="s">
        <v>22</v>
      </c>
      <c r="D60" s="8" t="s">
        <v>53</v>
      </c>
    </row>
    <row r="61" spans="1:13" x14ac:dyDescent="0.25">
      <c r="A61" s="8" t="s">
        <v>30</v>
      </c>
      <c r="B61" s="8" t="s">
        <v>2</v>
      </c>
      <c r="C61" s="8" t="s">
        <v>22</v>
      </c>
      <c r="D61" s="8" t="s">
        <v>54</v>
      </c>
    </row>
    <row r="62" spans="1:13" x14ac:dyDescent="0.25">
      <c r="A62" s="8" t="s">
        <v>31</v>
      </c>
      <c r="B62" s="8" t="s">
        <v>3</v>
      </c>
      <c r="C62" s="8" t="s">
        <v>22</v>
      </c>
      <c r="D62" s="8" t="s">
        <v>55</v>
      </c>
    </row>
    <row r="63" spans="1:13" x14ac:dyDescent="0.25">
      <c r="A63" s="8" t="s">
        <v>32</v>
      </c>
      <c r="B63" s="8" t="s">
        <v>4</v>
      </c>
      <c r="C63" s="8" t="s">
        <v>22</v>
      </c>
      <c r="D63" s="8" t="s">
        <v>56</v>
      </c>
    </row>
    <row r="64" spans="1:13" x14ac:dyDescent="0.25">
      <c r="A64" s="8" t="s">
        <v>33</v>
      </c>
      <c r="B64" s="8" t="s">
        <v>5</v>
      </c>
      <c r="C64" s="8" t="s">
        <v>22</v>
      </c>
      <c r="D64" s="8" t="s">
        <v>57</v>
      </c>
    </row>
    <row r="65" spans="1:4" x14ac:dyDescent="0.25">
      <c r="A65" s="8" t="s">
        <v>45</v>
      </c>
      <c r="B65" s="8" t="s">
        <v>38</v>
      </c>
      <c r="C65" s="8" t="s">
        <v>22</v>
      </c>
      <c r="D65" s="8" t="s">
        <v>58</v>
      </c>
    </row>
    <row r="66" spans="1:4" x14ac:dyDescent="0.25">
      <c r="A66" s="8" t="s">
        <v>34</v>
      </c>
      <c r="B66" s="8" t="s">
        <v>39</v>
      </c>
      <c r="C66" s="8" t="s">
        <v>22</v>
      </c>
      <c r="D66" s="8" t="s">
        <v>59</v>
      </c>
    </row>
    <row r="67" spans="1:4" x14ac:dyDescent="0.25">
      <c r="A67" s="8" t="s">
        <v>43</v>
      </c>
      <c r="B67" s="8" t="s">
        <v>6</v>
      </c>
      <c r="C67" s="8" t="s">
        <v>22</v>
      </c>
      <c r="D67" s="8" t="s">
        <v>60</v>
      </c>
    </row>
    <row r="68" spans="1:4" x14ac:dyDescent="0.25">
      <c r="A68" s="8" t="s">
        <v>46</v>
      </c>
      <c r="B68" s="8" t="s">
        <v>35</v>
      </c>
      <c r="C68" s="8" t="s">
        <v>22</v>
      </c>
      <c r="D68" s="8" t="s">
        <v>61</v>
      </c>
    </row>
    <row r="69" spans="1:4" x14ac:dyDescent="0.25">
      <c r="A69" s="8" t="s">
        <v>44</v>
      </c>
      <c r="B69" s="8" t="s">
        <v>7</v>
      </c>
      <c r="C69" s="8" t="s">
        <v>22</v>
      </c>
      <c r="D69" s="8" t="s">
        <v>62</v>
      </c>
    </row>
    <row r="70" spans="1:4" x14ac:dyDescent="0.25">
      <c r="A70" s="8" t="s">
        <v>47</v>
      </c>
      <c r="B70" s="8" t="s">
        <v>36</v>
      </c>
      <c r="C70" s="8" t="s">
        <v>22</v>
      </c>
      <c r="D70" s="8" t="s">
        <v>63</v>
      </c>
    </row>
    <row r="71" spans="1:4" x14ac:dyDescent="0.25">
      <c r="A71" s="8" t="s">
        <v>41</v>
      </c>
      <c r="B71" s="8" t="s">
        <v>8</v>
      </c>
      <c r="C71" s="8" t="s">
        <v>22</v>
      </c>
      <c r="D71" s="8" t="s">
        <v>64</v>
      </c>
    </row>
    <row r="72" spans="1:4" x14ac:dyDescent="0.25">
      <c r="A72" s="8" t="s">
        <v>42</v>
      </c>
      <c r="B72" s="8" t="s">
        <v>27</v>
      </c>
      <c r="C72" s="8" t="s">
        <v>22</v>
      </c>
      <c r="D72" s="8" t="s">
        <v>65</v>
      </c>
    </row>
    <row r="73" spans="1:4" x14ac:dyDescent="0.25">
      <c r="A73" s="8" t="s">
        <v>26</v>
      </c>
      <c r="B73" s="8" t="s">
        <v>9</v>
      </c>
      <c r="C73" s="8" t="s">
        <v>22</v>
      </c>
      <c r="D73" s="8" t="s">
        <v>66</v>
      </c>
    </row>
    <row r="74" spans="1:4" x14ac:dyDescent="0.25">
      <c r="A74" s="8" t="s">
        <v>25</v>
      </c>
      <c r="B74" s="8" t="s">
        <v>40</v>
      </c>
      <c r="C74" s="8" t="s">
        <v>22</v>
      </c>
      <c r="D74" s="8" t="s">
        <v>67</v>
      </c>
    </row>
    <row r="75" spans="1:4" x14ac:dyDescent="0.25">
      <c r="A75" s="8" t="s">
        <v>48</v>
      </c>
      <c r="B75" s="8" t="s">
        <v>10</v>
      </c>
      <c r="C75" s="8" t="s">
        <v>22</v>
      </c>
      <c r="D75" s="8" t="s">
        <v>68</v>
      </c>
    </row>
    <row r="76" spans="1:4" x14ac:dyDescent="0.25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C5" sqref="C5"/>
    </sheetView>
  </sheetViews>
  <sheetFormatPr defaultRowHeight="15.75" x14ac:dyDescent="0.2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 x14ac:dyDescent="0.25">
      <c r="A1" s="10" t="s">
        <v>82</v>
      </c>
      <c r="B1" s="13" t="s">
        <v>236</v>
      </c>
    </row>
    <row r="2" spans="1:4" x14ac:dyDescent="0.25">
      <c r="A2" s="10" t="s">
        <v>82</v>
      </c>
      <c r="B2" s="13" t="s">
        <v>327</v>
      </c>
    </row>
    <row r="6" spans="1:4" x14ac:dyDescent="0.25">
      <c r="A6" s="2"/>
    </row>
    <row r="9" spans="1:4" ht="16.5" x14ac:dyDescent="0.25">
      <c r="A9" s="3" t="s">
        <v>115</v>
      </c>
      <c r="B9" s="3" t="s">
        <v>76</v>
      </c>
      <c r="C9" s="3"/>
      <c r="D9" s="3"/>
    </row>
    <row r="10" spans="1:4" x14ac:dyDescent="0.25">
      <c r="A10" t="s">
        <v>93</v>
      </c>
      <c r="B10" s="9" t="s">
        <v>96</v>
      </c>
      <c r="D10" s="9"/>
    </row>
    <row r="11" spans="1:4" x14ac:dyDescent="0.25">
      <c r="A11" t="s">
        <v>94</v>
      </c>
      <c r="B11" s="9" t="s">
        <v>97</v>
      </c>
      <c r="D11" s="9"/>
    </row>
    <row r="12" spans="1:4" x14ac:dyDescent="0.25">
      <c r="A12" t="s">
        <v>95</v>
      </c>
      <c r="B12" t="s">
        <v>98</v>
      </c>
    </row>
    <row r="15" spans="1:4" x14ac:dyDescent="0.25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2024-02-19T03:00:47Z</dcterms:modified>
</cp:coreProperties>
</file>