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HeroFishing\Design\"/>
    </mc:Choice>
  </mc:AlternateContent>
  <xr:revisionPtr revIDLastSave="0" documentId="13_ncr:1_{586974DD-BE53-4638-A08D-488ACA26574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2" authorId="0" shapeId="0" xr:uid="{2A37A2E0-128F-4DAB-B234-9FF66E6C113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沒有填RTP就使用DBMap的attackRTP(普攻RTP)</t>
        </r>
      </text>
    </comment>
    <comment ref="I2" authorId="0" shapeId="0" xr:uid="{C8D6985B-5F19-4163-91A9-B2CD37424CB2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J2" authorId="0" shapeId="0" xr:uid="{DDAFB0E1-6188-4FFF-AB37-3F7971E46625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每波命中的最大怪物數量
填3就是每波可以最多命中3個怪物</t>
        </r>
      </text>
    </comment>
    <comment ref="K2" authorId="0" shapeId="0" xr:uid="{9620A1EA-C0DE-4CF8-8AA4-E0BEA186CCD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Rot: </t>
        </r>
        <r>
          <rPr>
            <sz val="9"/>
            <color indexed="81"/>
            <rFont val="細明體"/>
            <family val="3"/>
            <charset val="136"/>
          </rPr>
          <t>指示物在拖曳的時候跟著角色旋轉
Mov: 指示物拖曳的時候緊跟滑鼠</t>
        </r>
      </text>
    </comment>
    <comment ref="L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O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CircleArea(</t>
        </r>
        <r>
          <rPr>
            <sz val="9"/>
            <color indexed="81"/>
            <rFont val="細明體"/>
            <family val="3"/>
            <charset val="136"/>
          </rPr>
          <t>圓形範圍</t>
        </r>
        <r>
          <rPr>
            <sz val="9"/>
            <color indexed="81"/>
            <rFont val="Tahoma"/>
            <family val="2"/>
          </rPr>
          <t>): [</t>
        </r>
        <r>
          <rPr>
            <sz val="9"/>
            <color indexed="81"/>
            <rFont val="細明體"/>
            <family val="3"/>
            <charset val="136"/>
          </rPr>
          <t>碰撞範圍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特效大小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碰撞時間</t>
        </r>
        <r>
          <rPr>
            <sz val="9"/>
            <color indexed="81"/>
            <rFont val="Tahoma"/>
            <family val="2"/>
          </rPr>
          <t>]</t>
        </r>
      </text>
    </comment>
    <comment ref="Q2" authorId="0" shapeId="0" xr:uid="{55CC4302-7F81-415A-BD96-29B7FB83134D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Chain: </t>
        </r>
        <r>
          <rPr>
            <sz val="9"/>
            <color indexed="81"/>
            <rFont val="細明體"/>
            <family val="3"/>
            <charset val="136"/>
          </rPr>
          <t>連鎖擊中特效 [觸發範圍, 子彈寬度, 子彈速度, 生命週期, 擴散角度, 最大連鎖怪物數量]
Explode: 爆炸特效 [延遲, 碰撞半徑, 生命週期, 波數]</t>
        </r>
      </text>
    </comment>
    <comment ref="S2" authorId="0" shapeId="0" xr:uid="{7C262D42-D216-4B6B-8E4E-A7089A50741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Target: [</t>
        </r>
        <r>
          <rPr>
            <sz val="9"/>
            <color indexed="81"/>
            <rFont val="細明體"/>
            <family val="3"/>
            <charset val="136"/>
          </rPr>
          <t>移動延遲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移動速度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最大高度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細明體"/>
            <family val="3"/>
            <charset val="136"/>
          </rPr>
          <t>平移為0), 回位時間</t>
        </r>
        <r>
          <rPr>
            <sz val="9"/>
            <color indexed="81"/>
            <rFont val="Tahoma"/>
            <family val="2"/>
          </rPr>
          <t>]</t>
        </r>
      </text>
    </comment>
    <comment ref="W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Y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  <comment ref="Z2" authorId="0" shapeId="0" xr:uid="{AB0ABF64-0159-48A1-A71D-1207C7B04A29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(</t>
        </r>
        <r>
          <rPr>
            <sz val="9"/>
            <color indexed="81"/>
            <rFont val="細明體"/>
            <family val="3"/>
            <charset val="136"/>
          </rPr>
          <t>延遲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震動幅度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振動頻率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持續時間</t>
        </r>
        <r>
          <rPr>
            <sz val="9"/>
            <color indexed="81"/>
            <rFont val="Tahoma"/>
            <family val="2"/>
          </rPr>
          <t>)</t>
        </r>
      </text>
    </comment>
    <comment ref="AA2" authorId="0" shapeId="0" xr:uid="{2068FB3A-33D4-44B3-9023-3D92BFCD3AF3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(Specular Color: R,G,B,A,Intensity)
(Rim Color: R,G,B,A,Intensity)
,</t>
        </r>
        <r>
          <rPr>
            <sz val="9"/>
            <color indexed="81"/>
            <rFont val="細明體"/>
            <family val="3"/>
            <charset val="136"/>
          </rPr>
          <t>持續時間</t>
        </r>
      </text>
    </comment>
  </commentList>
</comments>
</file>

<file path=xl/sharedStrings.xml><?xml version="1.0" encoding="utf-8"?>
<sst xmlns="http://schemas.openxmlformats.org/spreadsheetml/2006/main" count="607" uniqueCount="345">
  <si>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</si>
  <si>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</si>
  <si>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</si>
  <si>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</si>
  <si>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</si>
  <si>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</si>
  <si>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</si>
  <si>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</si>
  <si>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</si>
  <si>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</si>
  <si>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</si>
  <si>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</si>
  <si>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</si>
  <si>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</si>
  <si>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</si>
  <si>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</si>
  <si>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</si>
  <si>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</si>
  <si>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</si>
  <si>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</si>
  <si>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</si>
  <si>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</si>
  <si>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</si>
  <si>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</si>
  <si>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</si>
  <si>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</si>
  <si>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</si>
  <si>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</si>
  <si>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</si>
  <si>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</si>
  <si>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</si>
  <si>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</si>
  <si>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</si>
  <si>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</si>
  <si>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</si>
  <si>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</si>
  <si>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</si>
  <si>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</si>
  <si>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</si>
  <si>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</si>
  <si>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</si>
  <si>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</si>
  <si>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</si>
  <si>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</si>
  <si>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</si>
  <si>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</si>
  <si>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</si>
  <si>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</si>
  <si>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</si>
  <si>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</si>
  <si>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</si>
  <si>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</si>
  <si>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</si>
  <si>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</si>
  <si>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</si>
  <si>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</si>
  <si>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</si>
  <si>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</si>
  <si>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</si>
  <si>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</si>
  <si>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</si>
  <si>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</si>
  <si>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</si>
  <si>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</si>
  <si>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</si>
  <si>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</si>
  <si>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</si>
  <si>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</si>
  <si>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</si>
  <si>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</si>
  <si>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</si>
  <si>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</si>
  <si>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</si>
  <si>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</si>
  <si>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</si>
  <si>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</si>
  <si>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</si>
  <si>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</si>
  <si>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</si>
  <si>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</si>
  <si>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</si>
  <si>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</si>
  <si>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</si>
  <si>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</si>
  <si>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</si>
  <si>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</si>
  <si>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</si>
  <si>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</si>
  <si>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</si>
  <si>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</si>
  <si>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</si>
  <si>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</si>
  <si>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</si>
  <si>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</si>
  <si>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</si>
  <si>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</si>
  <si>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</si>
  <si>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</si>
  <si>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</si>
  <si>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</si>
  <si>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</si>
  <si>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</si>
  <si>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</si>
  <si>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</si>
  <si>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</si>
  <si>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</si>
  <si>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</si>
  <si>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</si>
  <si>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</si>
  <si>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</si>
  <si>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</si>
  <si>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</si>
  <si>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</si>
  <si>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</si>
  <si>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</si>
  <si>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</si>
  <si>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</si>
  <si>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</si>
  <si>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</si>
  <si>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</si>
  <si>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</si>
  <si>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</si>
  <si>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</si>
  <si>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</si>
  <si>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</si>
  <si>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</si>
  <si>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</si>
  <si>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</si>
  <si>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</si>
  <si>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</si>
  <si>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</si>
  <si>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</si>
  <si>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</si>
  <si>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</si>
  <si>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</si>
  <si>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</si>
  <si>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</si>
  <si>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</si>
  <si>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</si>
  <si>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</si>
  <si>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</si>
  <si>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</si>
  <si>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</si>
  <si>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</si>
  <si>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</si>
  <si>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</si>
  <si>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</si>
  <si>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</si>
  <si>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</si>
  <si>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</si>
  <si>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</si>
  <si>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</si>
  <si>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</si>
  <si>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</si>
  <si>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</si>
  <si>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</si>
  <si>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</si>
  <si>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</si>
  <si>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</si>
  <si>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</si>
  <si>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</si>
  <si>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</si>
  <si>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</si>
  <si>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</si>
  <si>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</si>
  <si>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</si>
  <si>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</si>
  <si>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</si>
  <si>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</si>
  <si>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</si>
  <si>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</si>
  <si>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</si>
  <si>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</si>
  <si>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</si>
  <si>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</si>
  <si>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</si>
  <si>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</si>
  <si>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</si>
  <si>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</si>
  <si>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</si>
  <si>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</si>
  <si>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</si>
  <si>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</si>
  <si>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</si>
  <si>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</si>
  <si>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</si>
  <si>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</si>
  <si>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</si>
  <si>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</si>
  <si>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</si>
  <si>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</si>
  <si>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</si>
  <si>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</si>
  <si>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</si>
  <si>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</si>
  <si>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</si>
  <si>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</si>
  <si>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</si>
  <si>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</si>
  <si>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</si>
  <si>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</si>
  <si>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</si>
  <si>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</si>
  <si>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</si>
  <si>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</si>
  <si>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</si>
  <si>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</si>
  <si>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</si>
  <si>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</si>
  <si>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</si>
  <si>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</si>
  <si>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</si>
  <si>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</si>
  <si>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</si>
  <si>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</si>
  <si>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</si>
  <si>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</si>
  <si>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</si>
  <si>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</si>
  <si>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</si>
  <si>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</si>
  <si>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</si>
  <si>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</si>
  <si>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</si>
  <si>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</si>
  <si>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</si>
  <si>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</si>
  <si>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</si>
  <si>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</si>
  <si>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</si>
  <si>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</si>
  <si>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</si>
  <si>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</si>
  <si>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</si>
  <si>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</si>
  <si>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</si>
  <si>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</si>
  <si>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</si>
  <si>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</si>
  <si>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</si>
  <si>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</si>
  <si>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</si>
  <si>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</si>
  <si>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</si>
  <si>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</si>
  <si>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</si>
  <si>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</si>
  <si>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</si>
  <si>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</si>
  <si>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</si>
  <si>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</si>
  <si>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</si>
  <si>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</si>
  <si>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</si>
  <si>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</si>
  <si>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</si>
  <si>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</si>
  <si>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</si>
  <si>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</si>
  <si>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</si>
  <si>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</si>
  <si>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</si>
  <si>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</si>
  <si>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</si>
  <si>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</si>
  <si>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</si>
  <si>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</si>
  <si>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</si>
  <si>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</si>
  <si>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</si>
  <si>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</si>
  <si>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</si>
  <si>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</si>
  <si>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</si>
  <si>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</si>
  <si>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</si>
  <si>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</si>
  <si>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</si>
  <si>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</si>
  <si>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</si>
  <si>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</si>
  <si>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</si>
  <si>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</si>
  <si>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</si>
  <si>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</si>
  <si>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</si>
  <si>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</si>
  <si>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ShadowFiend</t>
    <phoneticPr fontId="1" type="noConversion"/>
  </si>
  <si>
    <t>DestroyOnCollision</t>
    <phoneticPr fontId="1" type="noConversion"/>
  </si>
  <si>
    <t>打中即消失</t>
    <phoneticPr fontId="1" type="noConversion"/>
  </si>
  <si>
    <t>SubPrefabID</t>
    <phoneticPr fontId="1" type="noConversion"/>
  </si>
  <si>
    <t>額外PrefabID</t>
    <phoneticPr fontId="1" type="noConversion"/>
  </si>
  <si>
    <t>4, 0.6, 10, 2, 360, 3</t>
    <phoneticPr fontId="1" type="noConversion"/>
  </si>
  <si>
    <t>CircleArea</t>
    <phoneticPr fontId="1" type="noConversion"/>
  </si>
  <si>
    <t>DragType</t>
    <phoneticPr fontId="1" type="noConversion"/>
  </si>
  <si>
    <t>拖曳類型</t>
    <phoneticPr fontId="1" type="noConversion"/>
  </si>
  <si>
    <t>Rot</t>
    <phoneticPr fontId="1" type="noConversion"/>
  </si>
  <si>
    <t>Mov</t>
    <phoneticPr fontId="1" type="noConversion"/>
  </si>
  <si>
    <t>SectorArea</t>
    <phoneticPr fontId="1" type="noConversion"/>
  </si>
  <si>
    <t>2,0.8,4,0.5,0.75,2.2</t>
    <phoneticPr fontId="1" type="noConversion"/>
  </si>
  <si>
    <t>10,1,3,40</t>
    <phoneticPr fontId="1" type="noConversion"/>
  </si>
  <si>
    <t>命中數</t>
    <phoneticPr fontId="1" type="noConversion"/>
  </si>
  <si>
    <t>7_1</t>
    <phoneticPr fontId="1" type="noConversion"/>
  </si>
  <si>
    <t>米拉娜_經典</t>
    <phoneticPr fontId="1" type="noConversion"/>
  </si>
  <si>
    <t>Mirana</t>
  </si>
  <si>
    <t>ashe_classic</t>
    <phoneticPr fontId="1" type="noConversion"/>
  </si>
  <si>
    <t>5,0.4,15,2,0</t>
    <phoneticPr fontId="1" type="noConversion"/>
  </si>
  <si>
    <t>5,0.4,15,2,0.5</t>
    <phoneticPr fontId="1" type="noConversion"/>
  </si>
  <si>
    <t>MoveType</t>
    <phoneticPr fontId="1" type="noConversion"/>
  </si>
  <si>
    <t>移動類型</t>
    <phoneticPr fontId="1" type="noConversion"/>
  </si>
  <si>
    <t>MoveTypeValues</t>
    <phoneticPr fontId="1" type="noConversion"/>
  </si>
  <si>
    <t>移動參數</t>
    <phoneticPr fontId="1" type="noConversion"/>
  </si>
  <si>
    <t>Target</t>
    <phoneticPr fontId="1" type="noConversion"/>
  </si>
  <si>
    <t>WaveHits</t>
    <phoneticPr fontId="1" type="noConversion"/>
  </si>
  <si>
    <t>MaxHits</t>
    <phoneticPr fontId="1" type="noConversion"/>
  </si>
  <si>
    <t>最大命中數</t>
    <phoneticPr fontId="1" type="noConversion"/>
  </si>
  <si>
    <t>0,0.5,2,1</t>
    <phoneticPr fontId="1" type="noConversion"/>
  </si>
  <si>
    <t>2,1,2.3,0.3,1,0.05</t>
    <phoneticPr fontId="1" type="noConversion"/>
  </si>
  <si>
    <t>12,18,191,255,3,1.2,1,-1.29,0</t>
    <phoneticPr fontId="1" type="noConversion"/>
  </si>
  <si>
    <t>相機震動參數</t>
    <phoneticPr fontId="1" type="noConversion"/>
  </si>
  <si>
    <t>0,2,2,1.5</t>
    <phoneticPr fontId="1" type="noConversion"/>
  </si>
  <si>
    <t>0.5,2,2,1</t>
    <phoneticPr fontId="1" type="noConversion"/>
  </si>
  <si>
    <t>CameraShakeSettings</t>
    <phoneticPr fontId="1" type="noConversion"/>
  </si>
  <si>
    <t>HeroShaderSettings</t>
    <phoneticPr fontId="1" type="noConversion"/>
  </si>
  <si>
    <t>英雄shader設定</t>
    <phoneticPr fontId="1" type="noConversion"/>
  </si>
  <si>
    <t>68,82,191,255,0,9,21,191,255,4.6,1.8</t>
    <phoneticPr fontId="1" type="noConversion"/>
  </si>
  <si>
    <t>2,0.8,3.5,0.6,0.75,2</t>
    <phoneticPr fontId="1" type="noConversion"/>
  </si>
  <si>
    <t>Mirana_t_01</t>
    <phoneticPr fontId="1" type="noConversion"/>
  </si>
  <si>
    <t>..\..\HeroFishingServer\Realm\mymodule\JsonData\</t>
    <phoneticPr fontId="1" type="noConversion"/>
  </si>
  <si>
    <t>2_attack</t>
    <phoneticPr fontId="1" type="noConversion"/>
  </si>
  <si>
    <t>2_spell1</t>
    <phoneticPr fontId="1" type="noConversion"/>
  </si>
  <si>
    <t>2_spell2</t>
    <phoneticPr fontId="1" type="noConversion"/>
  </si>
  <si>
    <t>2_spell3</t>
    <phoneticPr fontId="1" type="noConversion"/>
  </si>
  <si>
    <t>2_1</t>
    <phoneticPr fontId="1" type="noConversion"/>
  </si>
  <si>
    <t>伊澤瑞爾_經典</t>
    <phoneticPr fontId="1" type="noConversion"/>
  </si>
  <si>
    <t>Ezreal_t_01</t>
    <phoneticPr fontId="1" type="noConversion"/>
  </si>
  <si>
    <t>5,0.4,20,2,0</t>
    <phoneticPr fontId="1" type="noConversion"/>
  </si>
  <si>
    <t>Explode</t>
    <phoneticPr fontId="1" type="noConversion"/>
  </si>
  <si>
    <t>191,136,37,255,3,1.2,1,-1.29,0</t>
    <phoneticPr fontId="1" type="noConversion"/>
  </si>
  <si>
    <t>32,183,109,255,3,1.2,1,-1.29,0</t>
    <phoneticPr fontId="1" type="noConversion"/>
  </si>
  <si>
    <t>5,0.4,20,2,0.3</t>
    <phoneticPr fontId="1" type="noConversion"/>
  </si>
  <si>
    <t>5,0.8,15,2,0.3</t>
    <phoneticPr fontId="1" type="noConversion"/>
  </si>
  <si>
    <t>0, 1.8, 0.85,1</t>
    <phoneticPr fontId="1" type="noConversion"/>
  </si>
  <si>
    <t>CanLock</t>
    <phoneticPr fontId="1" type="noConversion"/>
  </si>
  <si>
    <t>可以鎖定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</si>
</sst>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5" sqref="D5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A10" s="6">
        <v>7</v>
      </c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92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92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92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1"/>
  <sheetViews>
    <sheetView workbookViewId="0">
      <selection activeCell="D6" sqref="D6"/>
    </sheetView>
  </sheetViews>
  <sheetFormatPr defaultColWidth="10.42578125" defaultRowHeight="15.75"/>
  <cols>
    <col min="1" max="1" width="10.42578125" style="6"/>
    <col min="2" max="2" width="18.140625" style="6" customWidth="1"/>
    <col min="3" max="3" width="16.7109375" customWidth="1"/>
    <col min="4" max="4" width="21.14062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269</v>
      </c>
      <c r="B4" s="12" t="s">
        <v>270</v>
      </c>
      <c r="C4" s="6" t="s">
        <v>271</v>
      </c>
      <c r="D4" s="6" t="s">
        <v>276</v>
      </c>
    </row>
    <row r="5" spans="1:4" s="6" customFormat="1">
      <c r="A5" s="6" t="s">
        <v>333</v>
      </c>
      <c r="B5" s="12" t="s">
        <v>334</v>
      </c>
      <c r="C5" s="6" t="s">
        <v>140</v>
      </c>
      <c r="D5" s="6" t="s">
        <v>335</v>
      </c>
    </row>
    <row r="6" spans="1:4" s="6" customFormat="1">
      <c r="A6" s="6" t="s">
        <v>302</v>
      </c>
      <c r="B6" s="12" t="s">
        <v>303</v>
      </c>
      <c r="C6" s="6" t="s">
        <v>304</v>
      </c>
      <c r="D6" s="6" t="s">
        <v>327</v>
      </c>
    </row>
    <row r="8" spans="1:4" s="6" customFormat="1">
      <c r="A8" s="6" t="s">
        <v>229</v>
      </c>
      <c r="B8" s="12" t="s">
        <v>255</v>
      </c>
      <c r="C8" s="6" t="s">
        <v>250</v>
      </c>
      <c r="D8" s="6" t="s">
        <v>305</v>
      </c>
    </row>
    <row r="9" spans="1:4" s="6" customFormat="1">
      <c r="A9" s="6" t="s">
        <v>242</v>
      </c>
      <c r="B9" s="12" t="s">
        <v>256</v>
      </c>
      <c r="C9" s="6" t="s">
        <v>250</v>
      </c>
      <c r="D9" s="6" t="s">
        <v>277</v>
      </c>
    </row>
    <row r="11" spans="1:4">
      <c r="A11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AA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1" sqref="N1:N104857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10.28515625" customWidth="1"/>
    <col min="9" max="9" width="9.42578125" customWidth="1"/>
    <col min="10" max="10" width="13.140625" customWidth="1"/>
    <col min="11" max="11" width="12.7109375" customWidth="1"/>
    <col min="12" max="12" width="15" customWidth="1"/>
    <col min="13" max="13" width="20.28515625" customWidth="1"/>
    <col min="14" max="14" width="13.7109375" customWidth="1"/>
    <col min="15" max="15" width="19.140625" customWidth="1"/>
    <col min="16" max="16" width="15" customWidth="1"/>
    <col min="17" max="17" width="17.28515625" customWidth="1"/>
    <col min="18" max="18" width="18" customWidth="1"/>
    <col min="19" max="19" width="19.140625" customWidth="1"/>
    <col min="20" max="20" width="14.140625" customWidth="1"/>
    <col min="23" max="24" width="15" customWidth="1"/>
    <col min="25" max="25" width="32.42578125" customWidth="1"/>
    <col min="26" max="26" width="28.140625" customWidth="1"/>
    <col min="27" max="27" width="34.140625" customWidth="1"/>
  </cols>
  <sheetData>
    <row r="1" spans="1:27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313</v>
      </c>
      <c r="J1" s="7" t="s">
        <v>314</v>
      </c>
      <c r="K1" s="7" t="s">
        <v>294</v>
      </c>
      <c r="L1" s="7" t="s">
        <v>239</v>
      </c>
      <c r="M1" s="7" t="s">
        <v>288</v>
      </c>
      <c r="N1" s="7" t="s">
        <v>343</v>
      </c>
      <c r="O1" s="7" t="s">
        <v>265</v>
      </c>
      <c r="P1" s="7" t="s">
        <v>260</v>
      </c>
      <c r="Q1" s="7" t="s">
        <v>257</v>
      </c>
      <c r="R1" s="7" t="s">
        <v>308</v>
      </c>
      <c r="S1" s="7" t="s">
        <v>310</v>
      </c>
      <c r="T1" s="7" t="s">
        <v>110</v>
      </c>
      <c r="U1" s="7" t="s">
        <v>240</v>
      </c>
      <c r="V1" s="7" t="s">
        <v>106</v>
      </c>
      <c r="W1" s="7" t="s">
        <v>266</v>
      </c>
      <c r="X1" s="7" t="s">
        <v>290</v>
      </c>
      <c r="Y1" s="7" t="s">
        <v>280</v>
      </c>
      <c r="Z1" s="7" t="s">
        <v>322</v>
      </c>
      <c r="AA1" s="7" t="s">
        <v>323</v>
      </c>
    </row>
    <row r="2" spans="1:27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301</v>
      </c>
      <c r="J2" s="7" t="s">
        <v>315</v>
      </c>
      <c r="K2" s="7" t="s">
        <v>295</v>
      </c>
      <c r="L2" s="7" t="s">
        <v>263</v>
      </c>
      <c r="M2" s="7" t="s">
        <v>289</v>
      </c>
      <c r="N2" s="7" t="s">
        <v>344</v>
      </c>
      <c r="O2" s="7" t="s">
        <v>264</v>
      </c>
      <c r="P2" s="7" t="s">
        <v>258</v>
      </c>
      <c r="Q2" s="7" t="s">
        <v>259</v>
      </c>
      <c r="R2" s="7" t="s">
        <v>309</v>
      </c>
      <c r="S2" s="7" t="s">
        <v>311</v>
      </c>
      <c r="T2" s="7" t="s">
        <v>109</v>
      </c>
      <c r="U2" s="7" t="s">
        <v>105</v>
      </c>
      <c r="V2" s="7" t="s">
        <v>107</v>
      </c>
      <c r="W2" s="7" t="s">
        <v>267</v>
      </c>
      <c r="X2" s="7" t="s">
        <v>291</v>
      </c>
      <c r="Y2" s="7" t="s">
        <v>278</v>
      </c>
      <c r="Z2" s="7" t="s">
        <v>319</v>
      </c>
      <c r="AA2" s="7" t="s">
        <v>324</v>
      </c>
    </row>
    <row r="3" spans="1:27">
      <c r="B3" s="12"/>
    </row>
    <row r="4" spans="1:27">
      <c r="B4" s="7" t="s">
        <v>90</v>
      </c>
    </row>
    <row r="5" spans="1:27" s="6" customFormat="1">
      <c r="A5" s="6" t="s">
        <v>272</v>
      </c>
      <c r="B5" s="12" t="s">
        <v>99</v>
      </c>
      <c r="D5" s="6" t="str">
        <f>A5</f>
        <v>1_attack</v>
      </c>
      <c r="F5" s="6">
        <v>1</v>
      </c>
      <c r="H5" s="6">
        <v>1</v>
      </c>
      <c r="I5" s="6">
        <v>1</v>
      </c>
      <c r="J5" s="6">
        <v>1</v>
      </c>
      <c r="L5" s="6" t="s">
        <v>261</v>
      </c>
      <c r="M5" s="6" t="b">
        <v>1</v>
      </c>
      <c r="N5" s="6" t="b">
        <v>1</v>
      </c>
      <c r="O5" s="6" t="s">
        <v>336</v>
      </c>
      <c r="U5" s="6" t="s">
        <v>111</v>
      </c>
      <c r="W5" s="6">
        <v>10</v>
      </c>
      <c r="Y5" s="14" t="s">
        <v>281</v>
      </c>
    </row>
    <row r="6" spans="1:27" s="6" customFormat="1">
      <c r="A6" s="6" t="s">
        <v>273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H6" s="6">
        <v>1</v>
      </c>
      <c r="I6" s="6">
        <v>4</v>
      </c>
      <c r="J6" s="6">
        <v>4</v>
      </c>
      <c r="K6" s="6" t="s">
        <v>296</v>
      </c>
      <c r="L6" s="6" t="s">
        <v>261</v>
      </c>
      <c r="M6" s="6" t="b">
        <v>1</v>
      </c>
      <c r="N6" s="6" t="b">
        <v>0</v>
      </c>
      <c r="O6" s="6" t="s">
        <v>336</v>
      </c>
      <c r="P6" s="6" t="s">
        <v>187</v>
      </c>
      <c r="Q6" s="6" t="s">
        <v>292</v>
      </c>
      <c r="U6" s="6" t="s">
        <v>112</v>
      </c>
      <c r="W6" s="6">
        <v>11</v>
      </c>
      <c r="X6" s="6">
        <v>1</v>
      </c>
      <c r="Y6" s="14" t="s">
        <v>281</v>
      </c>
    </row>
    <row r="7" spans="1:27" s="6" customFormat="1">
      <c r="A7" s="6" t="s">
        <v>274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>
        <v>5</v>
      </c>
      <c r="J7" s="6">
        <v>25</v>
      </c>
      <c r="K7" s="6" t="s">
        <v>297</v>
      </c>
      <c r="L7" s="6" t="s">
        <v>293</v>
      </c>
      <c r="M7" s="6" t="b">
        <v>0</v>
      </c>
      <c r="N7" s="6" t="b">
        <v>0</v>
      </c>
      <c r="O7" s="6" t="s">
        <v>299</v>
      </c>
      <c r="U7" s="6" t="s">
        <v>113</v>
      </c>
      <c r="W7" s="6">
        <v>12</v>
      </c>
      <c r="Y7" s="14" t="s">
        <v>281</v>
      </c>
    </row>
    <row r="8" spans="1:27" s="6" customFormat="1">
      <c r="A8" s="6" t="s">
        <v>275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>
        <v>10</v>
      </c>
      <c r="J8" s="6">
        <v>100</v>
      </c>
      <c r="K8" s="6" t="s">
        <v>296</v>
      </c>
      <c r="L8" s="6" t="s">
        <v>298</v>
      </c>
      <c r="M8" s="6" t="b">
        <v>0</v>
      </c>
      <c r="N8" s="6" t="b">
        <v>0</v>
      </c>
      <c r="O8" s="6" t="s">
        <v>300</v>
      </c>
      <c r="T8" s="6" t="s">
        <v>108</v>
      </c>
      <c r="U8" s="6" t="s">
        <v>114</v>
      </c>
      <c r="W8" s="6">
        <v>13</v>
      </c>
      <c r="Y8" s="14" t="s">
        <v>281</v>
      </c>
      <c r="Z8" s="6" t="s">
        <v>320</v>
      </c>
    </row>
    <row r="9" spans="1:27">
      <c r="B9" s="12"/>
      <c r="Y9" s="6"/>
    </row>
    <row r="10" spans="1:27">
      <c r="B10" s="7" t="s">
        <v>118</v>
      </c>
      <c r="Y10" s="6"/>
    </row>
    <row r="11" spans="1:27" s="6" customFormat="1">
      <c r="A11" s="6" t="s">
        <v>329</v>
      </c>
      <c r="B11" s="12" t="s">
        <v>99</v>
      </c>
      <c r="D11" s="6" t="str">
        <f>A11</f>
        <v>2_attack</v>
      </c>
      <c r="F11" s="6">
        <v>0.5</v>
      </c>
      <c r="H11" s="6">
        <v>1</v>
      </c>
      <c r="I11" s="6">
        <v>1</v>
      </c>
      <c r="J11" s="6">
        <v>1</v>
      </c>
      <c r="L11" s="6" t="s">
        <v>261</v>
      </c>
      <c r="M11" s="6" t="b">
        <v>1</v>
      </c>
      <c r="N11" s="6" t="b">
        <v>1</v>
      </c>
      <c r="O11" s="6" t="s">
        <v>336</v>
      </c>
      <c r="U11" s="6" t="s">
        <v>111</v>
      </c>
      <c r="W11" s="6">
        <v>20</v>
      </c>
      <c r="Y11" s="14" t="s">
        <v>338</v>
      </c>
    </row>
    <row r="12" spans="1:27" s="6" customFormat="1">
      <c r="A12" s="6" t="s">
        <v>330</v>
      </c>
      <c r="B12" s="12" t="s">
        <v>151</v>
      </c>
      <c r="D12" s="6" t="str">
        <f>A12</f>
        <v>2_spell1</v>
      </c>
      <c r="E12" s="6">
        <v>15</v>
      </c>
      <c r="F12" s="6">
        <v>5</v>
      </c>
      <c r="G12" s="6">
        <f>ROUND((E12/10)*(100/20),0)</f>
        <v>8</v>
      </c>
      <c r="L12" s="6" t="s">
        <v>261</v>
      </c>
      <c r="M12" s="6" t="b">
        <v>0</v>
      </c>
      <c r="N12" s="6" t="b">
        <v>0</v>
      </c>
      <c r="O12" s="6" t="s">
        <v>340</v>
      </c>
      <c r="U12" s="6" t="s">
        <v>112</v>
      </c>
      <c r="W12" s="6">
        <v>21</v>
      </c>
      <c r="Y12" s="14" t="s">
        <v>339</v>
      </c>
    </row>
    <row r="13" spans="1:27" s="6" customFormat="1">
      <c r="A13" s="6" t="s">
        <v>331</v>
      </c>
      <c r="B13" s="12" t="s">
        <v>152</v>
      </c>
      <c r="D13" s="6" t="str">
        <f>A13</f>
        <v>2_spell2</v>
      </c>
      <c r="E13" s="6">
        <v>20</v>
      </c>
      <c r="F13" s="6">
        <v>5</v>
      </c>
      <c r="G13" s="6">
        <f>ROUND((E13/10)*(100/20),0)</f>
        <v>10</v>
      </c>
      <c r="L13" s="6" t="s">
        <v>261</v>
      </c>
      <c r="M13" s="6" t="b">
        <v>1</v>
      </c>
      <c r="N13" s="6" t="b">
        <v>0</v>
      </c>
      <c r="O13" s="6" t="s">
        <v>341</v>
      </c>
      <c r="P13" s="6" t="s">
        <v>337</v>
      </c>
      <c r="Q13" s="6" t="s">
        <v>342</v>
      </c>
      <c r="U13" s="6" t="s">
        <v>113</v>
      </c>
      <c r="W13" s="6">
        <v>22</v>
      </c>
      <c r="X13" s="6">
        <v>1</v>
      </c>
      <c r="Y13" s="14" t="s">
        <v>338</v>
      </c>
    </row>
    <row r="14" spans="1:27" s="6" customFormat="1">
      <c r="A14" s="6" t="s">
        <v>332</v>
      </c>
      <c r="B14" s="12" t="s">
        <v>153</v>
      </c>
      <c r="D14" s="6" t="str">
        <f>A14</f>
        <v>2_spell3</v>
      </c>
      <c r="E14" s="6">
        <v>80</v>
      </c>
      <c r="F14" s="6">
        <v>5</v>
      </c>
      <c r="G14" s="6">
        <f>ROUND((E14/10)*(100/20),0)</f>
        <v>40</v>
      </c>
      <c r="L14" s="6" t="s">
        <v>261</v>
      </c>
      <c r="M14" s="6" t="b">
        <v>0</v>
      </c>
      <c r="N14" s="6" t="b">
        <v>0</v>
      </c>
      <c r="O14" s="6" t="s">
        <v>306</v>
      </c>
      <c r="T14" s="6" t="s">
        <v>108</v>
      </c>
      <c r="U14" s="6" t="s">
        <v>114</v>
      </c>
      <c r="W14" s="6">
        <v>23</v>
      </c>
      <c r="Y14" s="14" t="s">
        <v>338</v>
      </c>
    </row>
    <row r="15" spans="1:27" s="6" customFormat="1">
      <c r="B15" s="12"/>
    </row>
    <row r="16" spans="1:27">
      <c r="B16" s="7" t="s">
        <v>120</v>
      </c>
      <c r="F16" s="6"/>
      <c r="G16" s="6"/>
    </row>
    <row r="17" spans="2:21" s="6" customFormat="1">
      <c r="B17" s="12" t="s">
        <v>99</v>
      </c>
      <c r="D17" s="6">
        <f>A17</f>
        <v>0</v>
      </c>
      <c r="F17" s="6">
        <v>1</v>
      </c>
      <c r="U17" s="6" t="s">
        <v>111</v>
      </c>
    </row>
    <row r="18" spans="2:21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P18" s="6" t="s">
        <v>241</v>
      </c>
      <c r="Q18" s="6">
        <v>30</v>
      </c>
      <c r="U18" s="6" t="s">
        <v>112</v>
      </c>
    </row>
    <row r="19" spans="2:21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U19" s="6" t="s">
        <v>113</v>
      </c>
    </row>
    <row r="20" spans="2:21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P20" s="6" t="s">
        <v>241</v>
      </c>
      <c r="Q20" s="6">
        <v>50</v>
      </c>
      <c r="T20" s="6" t="s">
        <v>108</v>
      </c>
      <c r="U20" s="6" t="s">
        <v>114</v>
      </c>
    </row>
    <row r="21" spans="2:21" s="6" customFormat="1"/>
    <row r="22" spans="2:21">
      <c r="B22" s="7" t="s">
        <v>121</v>
      </c>
    </row>
    <row r="23" spans="2:21" s="6" customFormat="1">
      <c r="B23" s="12" t="s">
        <v>99</v>
      </c>
      <c r="D23" s="6">
        <f>A23</f>
        <v>0</v>
      </c>
      <c r="F23" s="6">
        <v>1</v>
      </c>
      <c r="U23" s="6" t="s">
        <v>111</v>
      </c>
    </row>
    <row r="24" spans="2:21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U24" s="6" t="s">
        <v>112</v>
      </c>
    </row>
    <row r="25" spans="2:21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U25" s="6" t="s">
        <v>113</v>
      </c>
    </row>
    <row r="26" spans="2:21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T26" s="6" t="s">
        <v>108</v>
      </c>
      <c r="U26" s="6" t="s">
        <v>114</v>
      </c>
    </row>
    <row r="27" spans="2:21" s="6" customFormat="1">
      <c r="B27" s="12"/>
    </row>
    <row r="28" spans="2:21">
      <c r="B28" s="7" t="s">
        <v>122</v>
      </c>
    </row>
    <row r="29" spans="2:21" s="6" customFormat="1">
      <c r="B29" s="12" t="s">
        <v>99</v>
      </c>
      <c r="D29" s="6">
        <f>A29</f>
        <v>0</v>
      </c>
      <c r="F29" s="6">
        <v>1</v>
      </c>
      <c r="U29" s="6" t="s">
        <v>111</v>
      </c>
    </row>
    <row r="30" spans="2:21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P30" s="6" t="s">
        <v>241</v>
      </c>
      <c r="Q30" s="6">
        <v>30</v>
      </c>
      <c r="U30" s="6" t="s">
        <v>112</v>
      </c>
    </row>
    <row r="31" spans="2:21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U31" s="6" t="s">
        <v>113</v>
      </c>
    </row>
    <row r="32" spans="2:21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P32" s="6" t="s">
        <v>187</v>
      </c>
      <c r="Q32" s="6">
        <v>5</v>
      </c>
      <c r="T32" s="6" t="s">
        <v>108</v>
      </c>
      <c r="U32" s="6" t="s">
        <v>114</v>
      </c>
    </row>
    <row r="33" spans="1:27" s="6" customFormat="1">
      <c r="B33" s="12"/>
    </row>
    <row r="34" spans="1:27">
      <c r="B34" s="7" t="s">
        <v>124</v>
      </c>
    </row>
    <row r="35" spans="1:27" s="6" customFormat="1">
      <c r="B35" s="12" t="s">
        <v>99</v>
      </c>
      <c r="D35" s="6">
        <f>A35</f>
        <v>0</v>
      </c>
      <c r="F35" s="6">
        <v>1</v>
      </c>
      <c r="U35" s="6" t="s">
        <v>111</v>
      </c>
    </row>
    <row r="36" spans="1:2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U36" s="6" t="s">
        <v>112</v>
      </c>
    </row>
    <row r="37" spans="1:2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U37" s="6" t="s">
        <v>113</v>
      </c>
    </row>
    <row r="38" spans="1:2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T38" s="6" t="s">
        <v>108</v>
      </c>
      <c r="U38" s="6" t="s">
        <v>114</v>
      </c>
    </row>
    <row r="39" spans="1:27" s="6" customFormat="1">
      <c r="B39" s="12"/>
    </row>
    <row r="40" spans="1:27">
      <c r="B40" s="7" t="s">
        <v>126</v>
      </c>
    </row>
    <row r="41" spans="1:27" s="6" customFormat="1">
      <c r="A41" s="6" t="s">
        <v>282</v>
      </c>
      <c r="B41" s="12" t="s">
        <v>99</v>
      </c>
      <c r="D41" s="6" t="str">
        <f>A41</f>
        <v>7_attack</v>
      </c>
      <c r="F41" s="6">
        <v>1</v>
      </c>
      <c r="L41" s="6" t="s">
        <v>261</v>
      </c>
      <c r="M41" s="6" t="b">
        <v>1</v>
      </c>
      <c r="N41" s="6" t="b">
        <v>1</v>
      </c>
      <c r="O41" s="6" t="s">
        <v>306</v>
      </c>
      <c r="U41" s="6" t="s">
        <v>286</v>
      </c>
      <c r="W41" s="6">
        <v>70</v>
      </c>
      <c r="Y41" s="14" t="s">
        <v>318</v>
      </c>
    </row>
    <row r="42" spans="1:27" s="6" customFormat="1">
      <c r="A42" s="6" t="s">
        <v>283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H42" s="6">
        <v>1</v>
      </c>
      <c r="K42" s="6" t="s">
        <v>297</v>
      </c>
      <c r="L42" s="6" t="s">
        <v>293</v>
      </c>
      <c r="M42" s="6" t="b">
        <v>0</v>
      </c>
      <c r="N42" s="6" t="b">
        <v>0</v>
      </c>
      <c r="O42" s="6" t="s">
        <v>317</v>
      </c>
      <c r="U42" s="6" t="s">
        <v>112</v>
      </c>
      <c r="W42" s="6">
        <v>71</v>
      </c>
      <c r="Y42" s="14" t="s">
        <v>318</v>
      </c>
    </row>
    <row r="43" spans="1:27" s="6" customFormat="1">
      <c r="A43" s="6" t="s">
        <v>284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K43" s="6" t="s">
        <v>296</v>
      </c>
      <c r="L43" s="6" t="s">
        <v>261</v>
      </c>
      <c r="M43" s="6" t="b">
        <v>0</v>
      </c>
      <c r="N43" s="6" t="b">
        <v>0</v>
      </c>
      <c r="O43" s="6" t="s">
        <v>307</v>
      </c>
      <c r="U43" s="6" t="s">
        <v>113</v>
      </c>
      <c r="W43" s="6">
        <v>72</v>
      </c>
      <c r="Y43" s="14" t="s">
        <v>318</v>
      </c>
    </row>
    <row r="44" spans="1:27" s="6" customFormat="1">
      <c r="A44" s="6" t="s">
        <v>285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H44" s="6">
        <v>10</v>
      </c>
      <c r="K44" s="6" t="s">
        <v>297</v>
      </c>
      <c r="L44" s="6" t="s">
        <v>293</v>
      </c>
      <c r="M44" s="6" t="b">
        <v>0</v>
      </c>
      <c r="N44" s="6" t="b">
        <v>0</v>
      </c>
      <c r="O44" s="6" t="s">
        <v>326</v>
      </c>
      <c r="R44" s="6" t="s">
        <v>312</v>
      </c>
      <c r="S44" s="6" t="s">
        <v>316</v>
      </c>
      <c r="T44" s="6" t="s">
        <v>108</v>
      </c>
      <c r="U44" s="6" t="s">
        <v>114</v>
      </c>
      <c r="W44" s="6">
        <v>73</v>
      </c>
      <c r="Y44" s="14" t="s">
        <v>318</v>
      </c>
      <c r="Z44" s="6" t="s">
        <v>321</v>
      </c>
      <c r="AA44" s="6" t="s">
        <v>325</v>
      </c>
    </row>
    <row r="45" spans="1:27" s="6" customFormat="1">
      <c r="B45" s="12"/>
    </row>
    <row r="46" spans="1:27">
      <c r="B46" s="7" t="s">
        <v>129</v>
      </c>
      <c r="Y46" s="6"/>
    </row>
    <row r="47" spans="1:27" s="6" customFormat="1">
      <c r="B47" s="12" t="s">
        <v>99</v>
      </c>
      <c r="D47" s="6">
        <f>A47</f>
        <v>0</v>
      </c>
      <c r="F47" s="6">
        <v>1</v>
      </c>
      <c r="U47" s="6" t="s">
        <v>111</v>
      </c>
    </row>
    <row r="48" spans="1:2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U48" s="6" t="s">
        <v>112</v>
      </c>
    </row>
    <row r="49" spans="2:21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U49" s="6" t="s">
        <v>113</v>
      </c>
    </row>
    <row r="50" spans="2:21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>
        <v>3</v>
      </c>
      <c r="J50" s="6">
        <v>3</v>
      </c>
      <c r="T50" s="6" t="s">
        <v>108</v>
      </c>
      <c r="U50" s="6" t="s">
        <v>114</v>
      </c>
    </row>
    <row r="51" spans="2:21" s="6" customFormat="1">
      <c r="B51" s="12"/>
    </row>
    <row r="52" spans="2:21">
      <c r="B52" s="7" t="s">
        <v>127</v>
      </c>
    </row>
    <row r="53" spans="2:21" s="6" customFormat="1">
      <c r="B53" s="12" t="s">
        <v>99</v>
      </c>
      <c r="D53" s="6">
        <f>A53</f>
        <v>0</v>
      </c>
      <c r="F53" s="6">
        <v>1</v>
      </c>
      <c r="U53" s="6" t="s">
        <v>111</v>
      </c>
    </row>
    <row r="54" spans="2:21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U54" s="6" t="s">
        <v>112</v>
      </c>
    </row>
    <row r="55" spans="2:21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U55" s="6" t="s">
        <v>113</v>
      </c>
    </row>
    <row r="56" spans="2:21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T56" s="6" t="s">
        <v>108</v>
      </c>
      <c r="U56" s="6" t="s">
        <v>114</v>
      </c>
    </row>
    <row r="57" spans="2:21" s="6" customFormat="1">
      <c r="B57" s="12"/>
    </row>
    <row r="58" spans="2:21">
      <c r="B58" s="7" t="s">
        <v>131</v>
      </c>
    </row>
    <row r="59" spans="2:21" s="6" customFormat="1">
      <c r="B59" s="12" t="s">
        <v>99</v>
      </c>
      <c r="D59" s="6">
        <f>A59</f>
        <v>0</v>
      </c>
      <c r="F59" s="6">
        <v>1</v>
      </c>
      <c r="U59" s="6" t="s">
        <v>111</v>
      </c>
    </row>
    <row r="60" spans="2:21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U60" s="6" t="s">
        <v>112</v>
      </c>
    </row>
    <row r="61" spans="2:21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U61" s="6" t="s">
        <v>113</v>
      </c>
    </row>
    <row r="62" spans="2:21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T62" s="6" t="s">
        <v>108</v>
      </c>
      <c r="U62" s="6" t="s">
        <v>114</v>
      </c>
    </row>
    <row r="63" spans="2:21" s="6" customFormat="1">
      <c r="B63" s="12"/>
    </row>
    <row r="64" spans="2:21">
      <c r="B64" s="7" t="s">
        <v>128</v>
      </c>
    </row>
    <row r="65" spans="2:21" s="6" customFormat="1">
      <c r="B65" s="12" t="s">
        <v>99</v>
      </c>
      <c r="D65" s="6">
        <f>A65</f>
        <v>0</v>
      </c>
      <c r="F65" s="6">
        <v>1</v>
      </c>
      <c r="U65" s="6" t="s">
        <v>111</v>
      </c>
    </row>
    <row r="66" spans="2:21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U66" s="6" t="s">
        <v>112</v>
      </c>
    </row>
    <row r="67" spans="2:21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U67" s="6" t="s">
        <v>113</v>
      </c>
    </row>
    <row r="68" spans="2:21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T68" s="6" t="s">
        <v>108</v>
      </c>
      <c r="U68" s="6" t="s">
        <v>114</v>
      </c>
    </row>
    <row r="69" spans="2:21" s="6" customFormat="1">
      <c r="B69" s="12"/>
    </row>
    <row r="70" spans="2:21">
      <c r="B70" s="7" t="s">
        <v>133</v>
      </c>
    </row>
    <row r="71" spans="2:21" s="6" customFormat="1">
      <c r="B71" s="12" t="s">
        <v>99</v>
      </c>
      <c r="D71" s="6">
        <f>A71</f>
        <v>0</v>
      </c>
      <c r="F71" s="6">
        <v>1</v>
      </c>
      <c r="U71" s="6" t="s">
        <v>111</v>
      </c>
    </row>
    <row r="72" spans="2:21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U72" s="6" t="s">
        <v>112</v>
      </c>
    </row>
    <row r="73" spans="2:21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U73" s="6" t="s">
        <v>113</v>
      </c>
    </row>
    <row r="74" spans="2:21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T74" s="6" t="s">
        <v>108</v>
      </c>
      <c r="U74" s="6" t="s">
        <v>114</v>
      </c>
    </row>
    <row r="75" spans="2:21" s="6" customFormat="1">
      <c r="B75" s="12"/>
    </row>
    <row r="76" spans="2:21">
      <c r="B76" s="7" t="s">
        <v>193</v>
      </c>
    </row>
    <row r="77" spans="2:21" s="6" customFormat="1">
      <c r="B77" s="12" t="s">
        <v>99</v>
      </c>
      <c r="D77" s="6">
        <f>A77</f>
        <v>0</v>
      </c>
      <c r="F77" s="6">
        <v>1</v>
      </c>
      <c r="U77" s="6" t="s">
        <v>111</v>
      </c>
    </row>
    <row r="78" spans="2:21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U78" s="6" t="s">
        <v>112</v>
      </c>
    </row>
    <row r="79" spans="2:21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U79" s="6" t="s">
        <v>113</v>
      </c>
    </row>
    <row r="80" spans="2:21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T80" s="6" t="s">
        <v>108</v>
      </c>
      <c r="U80" s="6" t="s">
        <v>114</v>
      </c>
    </row>
    <row r="81" spans="2:21" s="6" customFormat="1">
      <c r="B81" s="12"/>
    </row>
    <row r="82" spans="2:21">
      <c r="B82" s="7" t="s">
        <v>201</v>
      </c>
    </row>
    <row r="83" spans="2:21" s="6" customFormat="1">
      <c r="B83" s="12" t="s">
        <v>99</v>
      </c>
      <c r="D83" s="6">
        <f>A83</f>
        <v>0</v>
      </c>
      <c r="F83" s="6">
        <v>1</v>
      </c>
      <c r="U83" s="6" t="s">
        <v>111</v>
      </c>
    </row>
    <row r="84" spans="2:21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U84" s="6" t="s">
        <v>112</v>
      </c>
    </row>
    <row r="85" spans="2:21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U85" s="6" t="s">
        <v>113</v>
      </c>
    </row>
    <row r="86" spans="2:21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T86" s="6" t="s">
        <v>108</v>
      </c>
      <c r="U86" s="6" t="s">
        <v>114</v>
      </c>
    </row>
    <row r="87" spans="2:21" s="6" customFormat="1">
      <c r="B87" s="12"/>
    </row>
    <row r="88" spans="2:21">
      <c r="B88" s="7" t="s">
        <v>205</v>
      </c>
    </row>
    <row r="89" spans="2:21" s="6" customFormat="1">
      <c r="B89" s="12" t="s">
        <v>99</v>
      </c>
      <c r="D89" s="6">
        <f>A89</f>
        <v>0</v>
      </c>
      <c r="F89" s="6">
        <v>1</v>
      </c>
      <c r="U89" s="6" t="s">
        <v>111</v>
      </c>
    </row>
    <row r="90" spans="2:21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P90" s="6" t="s">
        <v>187</v>
      </c>
      <c r="Q90" s="6">
        <v>2</v>
      </c>
      <c r="U90" s="6" t="s">
        <v>112</v>
      </c>
    </row>
    <row r="91" spans="2:21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U91" s="6" t="s">
        <v>113</v>
      </c>
    </row>
    <row r="92" spans="2:21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T92" s="6" t="s">
        <v>108</v>
      </c>
      <c r="U92" s="6" t="s">
        <v>114</v>
      </c>
    </row>
    <row r="94" spans="2:21">
      <c r="B94" s="7" t="s">
        <v>211</v>
      </c>
    </row>
    <row r="95" spans="2:21" s="6" customFormat="1">
      <c r="B95" s="12" t="s">
        <v>99</v>
      </c>
      <c r="D95" s="6">
        <f>A95</f>
        <v>0</v>
      </c>
      <c r="F95" s="6">
        <v>1</v>
      </c>
      <c r="U95" s="6" t="s">
        <v>111</v>
      </c>
    </row>
    <row r="96" spans="2:21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U96" s="6" t="s">
        <v>112</v>
      </c>
    </row>
    <row r="97" spans="2:21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U97" s="6" t="s">
        <v>113</v>
      </c>
    </row>
    <row r="98" spans="2:21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T98" s="6" t="s">
        <v>108</v>
      </c>
      <c r="U98" s="6" t="s">
        <v>114</v>
      </c>
    </row>
    <row r="100" spans="2:21">
      <c r="B100" s="7" t="s">
        <v>215</v>
      </c>
    </row>
    <row r="101" spans="2:21" s="6" customFormat="1">
      <c r="B101" s="12" t="s">
        <v>99</v>
      </c>
      <c r="D101" s="6">
        <f>A101</f>
        <v>0</v>
      </c>
      <c r="F101" s="6">
        <v>1</v>
      </c>
      <c r="U101" s="6" t="s">
        <v>111</v>
      </c>
    </row>
    <row r="102" spans="2:21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U102" s="6" t="s">
        <v>112</v>
      </c>
    </row>
    <row r="103" spans="2:21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P103" s="6" t="s">
        <v>187</v>
      </c>
      <c r="Q103" s="6">
        <v>3</v>
      </c>
      <c r="U103" s="6" t="s">
        <v>113</v>
      </c>
    </row>
    <row r="104" spans="2:21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T104" s="6" t="s">
        <v>108</v>
      </c>
      <c r="U104" s="6" t="s">
        <v>114</v>
      </c>
    </row>
    <row r="106" spans="2:21">
      <c r="B106" s="7" t="s">
        <v>220</v>
      </c>
    </row>
    <row r="107" spans="2:21" s="6" customFormat="1">
      <c r="B107" s="12" t="s">
        <v>99</v>
      </c>
      <c r="D107" s="6">
        <f>A107</f>
        <v>0</v>
      </c>
      <c r="F107" s="6">
        <v>1</v>
      </c>
      <c r="U107" s="6" t="s">
        <v>111</v>
      </c>
    </row>
    <row r="108" spans="2:21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U108" s="6" t="s">
        <v>112</v>
      </c>
    </row>
    <row r="109" spans="2:21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U109" s="6" t="s">
        <v>113</v>
      </c>
    </row>
    <row r="110" spans="2:21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T110" s="6" t="s">
        <v>108</v>
      </c>
      <c r="U110" s="6" t="s">
        <v>114</v>
      </c>
    </row>
    <row r="112" spans="2:21">
      <c r="B112" s="7" t="s">
        <v>225</v>
      </c>
    </row>
    <row r="113" spans="1:25" s="6" customFormat="1">
      <c r="A113" s="6" t="s">
        <v>251</v>
      </c>
      <c r="B113" s="12" t="s">
        <v>99</v>
      </c>
      <c r="D113" s="6" t="str">
        <f>A113</f>
        <v>19_attack</v>
      </c>
      <c r="F113" s="6">
        <v>1</v>
      </c>
      <c r="L113" s="6" t="s">
        <v>261</v>
      </c>
      <c r="M113" s="6" t="b">
        <v>1</v>
      </c>
      <c r="N113" s="6" t="b">
        <v>1</v>
      </c>
      <c r="O113" s="6" t="s">
        <v>306</v>
      </c>
      <c r="U113" s="6" t="s">
        <v>111</v>
      </c>
      <c r="W113" s="6">
        <v>190</v>
      </c>
      <c r="Y113" s="14" t="s">
        <v>279</v>
      </c>
    </row>
    <row r="114" spans="1:25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L114" s="6" t="s">
        <v>262</v>
      </c>
      <c r="M114" s="6" t="b">
        <v>1</v>
      </c>
      <c r="N114" s="6" t="b">
        <v>0</v>
      </c>
      <c r="O114" s="6" t="s">
        <v>268</v>
      </c>
      <c r="U114" s="6" t="s">
        <v>112</v>
      </c>
      <c r="W114" s="6">
        <v>190</v>
      </c>
      <c r="Y114" s="14" t="s">
        <v>279</v>
      </c>
    </row>
    <row r="115" spans="1:25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L115" s="6" t="s">
        <v>261</v>
      </c>
      <c r="M115" s="6" t="b">
        <v>0</v>
      </c>
      <c r="N115" s="6" t="b">
        <v>0</v>
      </c>
      <c r="O115" s="6" t="s">
        <v>306</v>
      </c>
      <c r="U115" s="6" t="s">
        <v>113</v>
      </c>
      <c r="W115" s="6">
        <v>192</v>
      </c>
      <c r="Y115" s="14" t="s">
        <v>279</v>
      </c>
    </row>
    <row r="116" spans="1:25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L116" s="6" t="s">
        <v>261</v>
      </c>
      <c r="M116" s="6" t="b">
        <v>1</v>
      </c>
      <c r="N116" s="6" t="b">
        <v>0</v>
      </c>
      <c r="O116" s="6" t="s">
        <v>306</v>
      </c>
      <c r="T116" s="6" t="s">
        <v>108</v>
      </c>
      <c r="U116" s="6" t="s">
        <v>114</v>
      </c>
      <c r="W116" s="6">
        <v>190</v>
      </c>
      <c r="Y116" s="14" t="s">
        <v>279</v>
      </c>
    </row>
    <row r="117" spans="1:25">
      <c r="L117" s="6"/>
      <c r="M117" s="6"/>
      <c r="N117" s="6"/>
      <c r="O117" s="6"/>
    </row>
    <row r="118" spans="1:25">
      <c r="B118" s="7" t="s">
        <v>231</v>
      </c>
    </row>
    <row r="119" spans="1:25" s="6" customFormat="1">
      <c r="B119" s="12" t="s">
        <v>99</v>
      </c>
      <c r="D119" s="6">
        <f>A119</f>
        <v>0</v>
      </c>
      <c r="F119" s="6">
        <v>1</v>
      </c>
      <c r="U119" s="6" t="s">
        <v>111</v>
      </c>
    </row>
    <row r="120" spans="1:25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P120" s="6" t="s">
        <v>187</v>
      </c>
      <c r="Q120" s="6">
        <v>3</v>
      </c>
      <c r="U120" s="6" t="s">
        <v>112</v>
      </c>
    </row>
    <row r="121" spans="1:25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U121" s="6" t="s">
        <v>113</v>
      </c>
    </row>
    <row r="122" spans="1:25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>
        <v>4</v>
      </c>
      <c r="J122" s="6">
        <v>4</v>
      </c>
      <c r="T122" s="6" t="s">
        <v>108</v>
      </c>
      <c r="U122" s="6" t="s">
        <v>114</v>
      </c>
    </row>
    <row r="125" spans="1:25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B5" sqref="B5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C5" sqref="C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328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2024-01-08T09:49:28Z</dcterms:modified>
</cp:coreProperties>
</file>