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1ABC3BC3-7F94-4274-AB44-DF96D2DBD49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ero" sheetId="1" r:id="rId1"/>
    <sheet name="HeroSkill" sheetId="10" r:id="rId2"/>
    <sheet name="HeroEXP" sheetId="11" r:id="rId3"/>
    <sheet name="Info" sheetId="6" r:id="rId4"/>
    <sheet name="Setting" sheetId="7" r:id="rId5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2" i="10" l="1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sharedStrings.xml><?xml version="1.0" encoding="utf-8"?>
<sst xmlns="http://schemas.openxmlformats.org/spreadsheetml/2006/main" count="702" uniqueCount="352">
  <si>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</si>
  <si>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</si>
  <si>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</si>
  <si>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</si>
  <si>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</si>
  <si>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</si>
  <si>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</si>
  <si>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</si>
  <si>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</si>
  <si>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</si>
  <si>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</si>
  <si>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</si>
  <si>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</si>
  <si>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</si>
  <si>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</si>
  <si>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</si>
  <si>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</si>
  <si>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</si>
  <si>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</si>
  <si>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</si>
  <si>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</si>
  <si>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</si>
  <si>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</si>
  <si>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</si>
  <si>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</si>
  <si>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</si>
  <si>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</si>
  <si>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</si>
  <si>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</si>
  <si>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</si>
  <si>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</si>
  <si>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</si>
  <si>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</si>
  <si>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</si>
  <si>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</si>
  <si>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</si>
  <si>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</si>
  <si>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</si>
  <si>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</si>
  <si>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</si>
  <si>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</si>
  <si>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</si>
  <si>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</si>
  <si>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</si>
  <si>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</si>
  <si>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</si>
  <si>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</si>
  <si>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</si>
  <si>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</si>
  <si>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</si>
  <si>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</si>
  <si>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</si>
  <si>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</si>
  <si>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</si>
  <si>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</si>
  <si>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</si>
  <si>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</si>
  <si>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</si>
  <si>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</si>
  <si>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</si>
  <si>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</si>
  <si>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</si>
  <si>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</si>
  <si>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</si>
  <si>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</si>
  <si>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</si>
  <si>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</si>
  <si>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</si>
  <si>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</si>
  <si>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</si>
  <si>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</si>
  <si>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</si>
  <si>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</si>
  <si>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</si>
  <si>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</si>
  <si>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</si>
  <si>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</si>
  <si>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</si>
  <si>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</si>
  <si>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</si>
  <si>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</si>
  <si>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</si>
  <si>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</si>
  <si>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</si>
  <si>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</si>
  <si>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</si>
  <si>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Rank</t>
  </si>
  <si>
    <t>Ref</t>
  </si>
  <si>
    <t>名稱</t>
  </si>
  <si>
    <t>說明</t>
  </si>
  <si>
    <t>品階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</si>
  <si>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</si>
  <si>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</si>
  <si>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</si>
  <si>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</si>
  <si>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</si>
  <si>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</si>
  <si>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</si>
  <si>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</si>
  <si>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</si>
  <si>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</si>
  <si>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</si>
  <si>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1_1</t>
    <phoneticPr fontId="1" type="noConversion"/>
  </si>
  <si>
    <t>1_2</t>
    <phoneticPr fontId="1" type="noConversion"/>
  </si>
  <si>
    <t>1_3</t>
    <phoneticPr fontId="1" type="noConversion"/>
  </si>
  <si>
    <t>1_4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</si>
  <si>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</si>
  <si>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</si>
  <si>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</si>
  <si>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</si>
  <si>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</si>
  <si>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</si>
  <si>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Motion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</si>
  <si>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</si>
  <si>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</si>
  <si>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</si>
  <si>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</si>
  <si>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</si>
  <si>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SkillCategory</t>
    <phoneticPr fontId="1" type="noConversion"/>
  </si>
  <si>
    <t>Spell</t>
  </si>
  <si>
    <t>Spell</t>
    <phoneticPr fontId="1" type="noConversion"/>
  </si>
  <si>
    <t>Attack</t>
  </si>
  <si>
    <t>Attack</t>
    <phoneticPr fontId="1" type="noConversion"/>
  </si>
  <si>
    <t>Ultimate</t>
  </si>
  <si>
    <t>Ultimate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</si>
  <si>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</si>
  <si>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</si>
  <si>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</si>
  <si>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</si>
  <si>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</si>
  <si>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技能</t>
    <phoneticPr fontId="1" type="noConversion"/>
  </si>
  <si>
    <t>大招</t>
    <phoneticPr fontId="1" type="noConversion"/>
  </si>
  <si>
    <t>技能分類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</si>
  <si>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</si>
  <si>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</si>
  <si>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</si>
  <si>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</si>
  <si>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</si>
  <si>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</si>
  <si>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</si>
  <si>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</si>
  <si>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</si>
  <si>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</si>
  <si>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</si>
  <si>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</si>
  <si>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</si>
  <si>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</si>
  <si>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</si>
  <si>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</si>
  <si>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</si>
  <si>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</si>
  <si>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</si>
  <si>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</si>
  <si>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</si>
  <si>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</si>
  <si>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</si>
  <si>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</si>
  <si>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</si>
  <si>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</si>
  <si>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</si>
  <si>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</si>
  <si>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</si>
  <si>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</si>
  <si>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</si>
  <si>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</si>
  <si>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</si>
  <si>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</si>
  <si>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</si>
  <si>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2_1</t>
  </si>
  <si>
    <t>2_2</t>
  </si>
  <si>
    <t>2_3</t>
  </si>
  <si>
    <t>2_4</t>
  </si>
  <si>
    <t>3_1</t>
    <phoneticPr fontId="1" type="noConversion"/>
  </si>
  <si>
    <t>3_2</t>
    <phoneticPr fontId="1" type="noConversion"/>
  </si>
  <si>
    <t>3_3</t>
    <phoneticPr fontId="1" type="noConversion"/>
  </si>
  <si>
    <t>3_4</t>
    <phoneticPr fontId="1" type="noConversion"/>
  </si>
  <si>
    <t>4_1</t>
    <phoneticPr fontId="1" type="noConversion"/>
  </si>
  <si>
    <t>4_2</t>
    <phoneticPr fontId="1" type="noConversion"/>
  </si>
  <si>
    <t>4_3</t>
    <phoneticPr fontId="1" type="noConversion"/>
  </si>
  <si>
    <t>4_4</t>
    <phoneticPr fontId="1" type="noConversion"/>
  </si>
  <si>
    <t>5_1</t>
    <phoneticPr fontId="1" type="noConversion"/>
  </si>
  <si>
    <t>5_2</t>
    <phoneticPr fontId="1" type="noConversion"/>
  </si>
  <si>
    <t>5_3</t>
    <phoneticPr fontId="1" type="noConversion"/>
  </si>
  <si>
    <t>5_4</t>
    <phoneticPr fontId="1" type="noConversion"/>
  </si>
  <si>
    <t>6_1</t>
    <phoneticPr fontId="1" type="noConversion"/>
  </si>
  <si>
    <t>6_2</t>
    <phoneticPr fontId="1" type="noConversion"/>
  </si>
  <si>
    <t>6_3</t>
    <phoneticPr fontId="1" type="noConversion"/>
  </si>
  <si>
    <t>6_4</t>
    <phoneticPr fontId="1" type="noConversion"/>
  </si>
  <si>
    <t>7_1</t>
    <phoneticPr fontId="1" type="noConversion"/>
  </si>
  <si>
    <t>7_2</t>
    <phoneticPr fontId="1" type="noConversion"/>
  </si>
  <si>
    <t>7_3</t>
    <phoneticPr fontId="1" type="noConversion"/>
  </si>
  <si>
    <t>7_4</t>
    <phoneticPr fontId="1" type="noConversion"/>
  </si>
  <si>
    <t>8_1</t>
    <phoneticPr fontId="1" type="noConversion"/>
  </si>
  <si>
    <t>8_2</t>
    <phoneticPr fontId="1" type="noConversion"/>
  </si>
  <si>
    <t>8_3</t>
    <phoneticPr fontId="1" type="noConversion"/>
  </si>
  <si>
    <t>8_4</t>
    <phoneticPr fontId="1" type="noConversion"/>
  </si>
  <si>
    <t>9_1</t>
    <phoneticPr fontId="1" type="noConversion"/>
  </si>
  <si>
    <t>9_2</t>
    <phoneticPr fontId="1" type="noConversion"/>
  </si>
  <si>
    <t>9_3</t>
    <phoneticPr fontId="1" type="noConversion"/>
  </si>
  <si>
    <t>9_4</t>
    <phoneticPr fontId="1" type="noConversion"/>
  </si>
  <si>
    <t>10_1</t>
    <phoneticPr fontId="1" type="noConversion"/>
  </si>
  <si>
    <t>10_2</t>
    <phoneticPr fontId="1" type="noConversion"/>
  </si>
  <si>
    <t>10_3</t>
    <phoneticPr fontId="1" type="noConversion"/>
  </si>
  <si>
    <t>10_4</t>
    <phoneticPr fontId="1" type="noConversion"/>
  </si>
  <si>
    <t>11_1</t>
    <phoneticPr fontId="1" type="noConversion"/>
  </si>
  <si>
    <t>11_2</t>
    <phoneticPr fontId="1" type="noConversion"/>
  </si>
  <si>
    <t>11_3</t>
    <phoneticPr fontId="1" type="noConversion"/>
  </si>
  <si>
    <t>11_4</t>
    <phoneticPr fontId="1" type="noConversion"/>
  </si>
  <si>
    <t>12_1</t>
    <phoneticPr fontId="1" type="noConversion"/>
  </si>
  <si>
    <t>12_2</t>
    <phoneticPr fontId="1" type="noConversion"/>
  </si>
  <si>
    <t>12_3</t>
    <phoneticPr fontId="1" type="noConversion"/>
  </si>
  <si>
    <t>12_4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</si>
  <si>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</si>
  <si>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</si>
  <si>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</si>
  <si>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</si>
  <si>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</si>
  <si>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</si>
  <si>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</si>
  <si>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</si>
  <si>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</si>
  <si>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</si>
  <si>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</si>
  <si>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</si>
  <si>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</si>
  <si>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</si>
  <si>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</si>
  <si>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</si>
  <si>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</si>
  <si>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</si>
  <si>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</si>
  <si>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</si>
  <si>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</si>
  <si>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</si>
  <si>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</si>
  <si>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</si>
  <si>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</si>
  <si>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</si>
  <si>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</si>
  <si>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</si>
  <si>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</si>
  <si>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</si>
  <si>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</si>
  <si>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</si>
  <si>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Shot</t>
    <phoneticPr fontId="1" type="noConversion"/>
  </si>
  <si>
    <t>Target</t>
    <phoneticPr fontId="1" type="noConversion"/>
  </si>
  <si>
    <t>Radius</t>
    <phoneticPr fontId="1" type="noConversion"/>
  </si>
  <si>
    <t xml:space="preserve">Conic </t>
    <phoneticPr fontId="1" type="noConversion"/>
  </si>
  <si>
    <t>目標類型</t>
    <phoneticPr fontId="1" type="noConversion"/>
  </si>
  <si>
    <t>TargetType</t>
    <phoneticPr fontId="1" type="noConversion"/>
  </si>
  <si>
    <t>目標參數</t>
    <phoneticPr fontId="1" type="noConversion"/>
  </si>
  <si>
    <t>TargetValues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</si>
  <si>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</si>
  <si>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</si>
  <si>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</si>
  <si>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</si>
  <si>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SingleShot</t>
    <phoneticPr fontId="1" type="noConversion"/>
  </si>
  <si>
    <t>命中類型</t>
    <phoneticPr fontId="1" type="noConversion"/>
  </si>
  <si>
    <t>HitType</t>
    <phoneticPr fontId="1" type="noConversion"/>
  </si>
  <si>
    <t>命中參數</t>
    <phoneticPr fontId="1" type="noConversion"/>
  </si>
  <si>
    <t>HitValues</t>
    <phoneticPr fontId="1" type="noConversion"/>
  </si>
  <si>
    <t>Chain</t>
    <phoneticPr fontId="1" type="noConversion"/>
  </si>
  <si>
    <t>Explod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</si>
  <si>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</si>
  <si>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</si>
  <si>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</si>
  <si>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DecayShot</t>
    <phoneticPr fontId="1" type="noConversion"/>
  </si>
  <si>
    <t>BoomerangShot</t>
    <phoneticPr fontId="1" type="noConversion"/>
  </si>
  <si>
    <t>AutoTargeted</t>
    <phoneticPr fontId="1" type="noConversion"/>
  </si>
  <si>
    <t xml:space="preserve">DecayConic </t>
    <phoneticPr fontId="1" type="noConversion"/>
  </si>
  <si>
    <t>All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</si>
  <si>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</si>
  <si>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</si>
  <si>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</si>
  <si>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</si>
  <si>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</si>
  <si>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</si>
  <si>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13_1</t>
    <phoneticPr fontId="1" type="noConversion"/>
  </si>
  <si>
    <t>13_2</t>
  </si>
  <si>
    <t>13_3</t>
  </si>
  <si>
    <t>13_4</t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</si>
  <si>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</si>
  <si>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</si>
  <si>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</si>
  <si>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</si>
  <si>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</si>
  <si>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</si>
  <si>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</si>
  <si>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</si>
  <si>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</si>
  <si>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</si>
  <si>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</si>
  <si>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14_1</t>
    <phoneticPr fontId="1" type="noConversion"/>
  </si>
  <si>
    <t>14_2</t>
  </si>
  <si>
    <t>14_3</t>
  </si>
  <si>
    <t>14_4</t>
  </si>
  <si>
    <t>15_1</t>
    <phoneticPr fontId="1" type="noConversion"/>
  </si>
  <si>
    <t>15_2</t>
  </si>
  <si>
    <t>15_3</t>
  </si>
  <si>
    <t>15_4</t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</si>
  <si>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</si>
  <si>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</si>
  <si>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</si>
  <si>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None</t>
    <phoneticPr fontId="1" type="noConversion"/>
  </si>
  <si>
    <t>影魔</t>
    <phoneticPr fontId="1" type="noConversion"/>
  </si>
  <si>
    <t xml:space="preserve">	ShadowFiend</t>
    <phoneticPr fontId="1" type="noConversion"/>
  </si>
  <si>
    <t>16_1</t>
    <phoneticPr fontId="1" type="noConversion"/>
  </si>
  <si>
    <t>16_2</t>
  </si>
  <si>
    <t>16_3</t>
  </si>
  <si>
    <t>16_4</t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</si>
  <si>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</si>
  <si>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</si>
  <si>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</si>
  <si>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Summon</t>
    <phoneticPr fontId="1" type="noConversion"/>
  </si>
  <si>
    <t>17_1</t>
    <phoneticPr fontId="1" type="noConversion"/>
  </si>
  <si>
    <t>17_2</t>
  </si>
  <si>
    <t>17_3</t>
  </si>
  <si>
    <t>17_4</t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</si>
  <si>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</si>
  <si>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</si>
  <si>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</si>
  <si>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</si>
  <si>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</si>
  <si>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</si>
  <si>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</si>
  <si>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</si>
  <si>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</si>
  <si>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</si>
  <si>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</si>
  <si>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</si>
  <si>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Ash</t>
    <phoneticPr fontId="1" type="noConversion"/>
  </si>
  <si>
    <t>鷹擊長空</t>
    <phoneticPr fontId="1" type="noConversion"/>
  </si>
  <si>
    <t>魔法水晶箭</t>
    <phoneticPr fontId="1" type="noConversion"/>
  </si>
  <si>
    <t>18_1</t>
    <phoneticPr fontId="1" type="noConversion"/>
  </si>
  <si>
    <t>18_2</t>
  </si>
  <si>
    <t>18_3</t>
  </si>
  <si>
    <t>18_4</t>
  </si>
  <si>
    <t>19_1</t>
    <phoneticPr fontId="1" type="noConversion"/>
  </si>
  <si>
    <t>19_2</t>
  </si>
  <si>
    <t>19_3</t>
  </si>
  <si>
    <t>19_4</t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</si>
  <si>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</si>
  <si>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</si>
  <si>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</si>
  <si>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</si>
  <si>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20_1</t>
    <phoneticPr fontId="1" type="noConversion"/>
  </si>
  <si>
    <t>20_2</t>
  </si>
  <si>
    <t>20_3</t>
  </si>
  <si>
    <t>20_4</t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</si>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</sst>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tabSelected="1" workbookViewId="0">
      <selection activeCell="D14" sqref="D14"/>
    </sheetView>
  </sheetViews>
  <sheetFormatPr defaultColWidth="10.42578125" defaultRowHeight="15.75"/>
  <cols>
    <col min="1" max="1" width="10.42578125" style="6"/>
    <col min="2" max="2" width="25" style="6" customWidth="1"/>
    <col min="3" max="3" width="15.7109375" style="6" customWidth="1"/>
    <col min="4" max="4" width="6.28515625" customWidth="1"/>
    <col min="5" max="5" width="16.5703125" customWidth="1"/>
    <col min="6" max="6" width="15.1406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87</v>
      </c>
      <c r="F1" s="7" t="s">
        <v>129</v>
      </c>
    </row>
    <row r="2" spans="1:8" s="7" customFormat="1">
      <c r="A2" s="7" t="s">
        <v>80</v>
      </c>
      <c r="B2" s="7" t="s">
        <v>88</v>
      </c>
      <c r="C2" s="7" t="s">
        <v>89</v>
      </c>
      <c r="D2" s="7" t="s">
        <v>90</v>
      </c>
      <c r="E2" s="7" t="s">
        <v>91</v>
      </c>
      <c r="F2" s="7" t="s">
        <v>93</v>
      </c>
    </row>
    <row r="4" spans="1:8" s="6" customFormat="1">
      <c r="A4" s="6">
        <v>1</v>
      </c>
      <c r="B4" s="12" t="s">
        <v>134</v>
      </c>
      <c r="C4" s="6" t="s">
        <v>152</v>
      </c>
      <c r="E4" s="6" t="s">
        <v>133</v>
      </c>
      <c r="F4" s="6" t="s">
        <v>94</v>
      </c>
    </row>
    <row r="5" spans="1:8" s="6" customFormat="1">
      <c r="A5" s="6">
        <v>2</v>
      </c>
      <c r="B5" s="12" t="s">
        <v>136</v>
      </c>
      <c r="C5" s="6" t="s">
        <v>152</v>
      </c>
      <c r="E5" s="6" t="s">
        <v>157</v>
      </c>
      <c r="F5" s="6" t="s">
        <v>94</v>
      </c>
    </row>
    <row r="6" spans="1:8" s="6" customFormat="1">
      <c r="B6" s="12" t="s">
        <v>137</v>
      </c>
      <c r="C6" s="6" t="s">
        <v>152</v>
      </c>
      <c r="E6" s="6" t="s">
        <v>158</v>
      </c>
      <c r="F6" s="6" t="s">
        <v>94</v>
      </c>
      <c r="G6" s="6">
        <v>3</v>
      </c>
    </row>
    <row r="7" spans="1:8" s="6" customFormat="1">
      <c r="A7" s="6">
        <v>4</v>
      </c>
      <c r="B7" s="12" t="s">
        <v>138</v>
      </c>
      <c r="C7" s="6" t="s">
        <v>153</v>
      </c>
      <c r="E7" s="6" t="s">
        <v>159</v>
      </c>
      <c r="F7" s="6" t="s">
        <v>94</v>
      </c>
    </row>
    <row r="8" spans="1:8" s="6" customFormat="1">
      <c r="B8" s="12" t="s">
        <v>140</v>
      </c>
      <c r="C8" s="6" t="s">
        <v>153</v>
      </c>
      <c r="E8" s="6" t="s">
        <v>160</v>
      </c>
      <c r="F8" s="6" t="s">
        <v>94</v>
      </c>
      <c r="G8" s="6">
        <v>5</v>
      </c>
    </row>
    <row r="9" spans="1:8" s="6" customFormat="1">
      <c r="B9" s="12" t="s">
        <v>142</v>
      </c>
      <c r="C9" s="6" t="s">
        <v>153</v>
      </c>
      <c r="E9" s="6" t="s">
        <v>161</v>
      </c>
      <c r="F9" s="6" t="s">
        <v>94</v>
      </c>
      <c r="G9" s="6">
        <v>6</v>
      </c>
    </row>
    <row r="10" spans="1:8" s="6" customFormat="1">
      <c r="B10" s="12" t="s">
        <v>143</v>
      </c>
      <c r="C10" s="6" t="s">
        <v>154</v>
      </c>
      <c r="E10" s="6" t="s">
        <v>162</v>
      </c>
      <c r="F10" s="6" t="s">
        <v>151</v>
      </c>
      <c r="G10" s="6">
        <v>7</v>
      </c>
    </row>
    <row r="11" spans="1:8" s="6" customFormat="1">
      <c r="A11" s="6">
        <v>8</v>
      </c>
      <c r="B11" s="12" t="s">
        <v>147</v>
      </c>
      <c r="C11" s="6" t="s">
        <v>154</v>
      </c>
      <c r="E11" s="6" t="s">
        <v>163</v>
      </c>
      <c r="F11" s="6" t="s">
        <v>151</v>
      </c>
    </row>
    <row r="12" spans="1:8" s="6" customFormat="1">
      <c r="B12" s="12" t="s">
        <v>144</v>
      </c>
      <c r="C12" s="6" t="s">
        <v>155</v>
      </c>
      <c r="E12" s="6" t="s">
        <v>164</v>
      </c>
      <c r="F12" s="6" t="s">
        <v>151</v>
      </c>
      <c r="G12" s="6">
        <v>9</v>
      </c>
    </row>
    <row r="13" spans="1:8" s="6" customFormat="1">
      <c r="B13" s="12" t="s">
        <v>149</v>
      </c>
      <c r="C13" s="6" t="s">
        <v>155</v>
      </c>
      <c r="E13" s="6" t="s">
        <v>165</v>
      </c>
      <c r="F13" s="6" t="s">
        <v>151</v>
      </c>
      <c r="G13" s="6">
        <v>10</v>
      </c>
    </row>
    <row r="14" spans="1:8" s="6" customFormat="1">
      <c r="B14" s="12" t="s">
        <v>145</v>
      </c>
      <c r="C14" s="6" t="s">
        <v>156</v>
      </c>
      <c r="E14" s="6" t="s">
        <v>167</v>
      </c>
      <c r="F14" s="6" t="s">
        <v>151</v>
      </c>
      <c r="G14" s="6">
        <v>11</v>
      </c>
    </row>
    <row r="15" spans="1:8">
      <c r="B15" s="12" t="s">
        <v>150</v>
      </c>
      <c r="C15" s="6" t="s">
        <v>274</v>
      </c>
      <c r="E15" s="6" t="s">
        <v>166</v>
      </c>
      <c r="F15" s="6" t="s">
        <v>151</v>
      </c>
      <c r="G15" s="6">
        <v>12</v>
      </c>
      <c r="H15" s="6"/>
    </row>
    <row r="16" spans="1:8" s="6" customFormat="1">
      <c r="A16" s="6">
        <v>13</v>
      </c>
      <c r="B16" s="12" t="s">
        <v>273</v>
      </c>
      <c r="C16" s="6" t="s">
        <v>275</v>
      </c>
      <c r="E16" s="6" t="s">
        <v>276</v>
      </c>
      <c r="F16" s="6" t="s">
        <v>151</v>
      </c>
    </row>
    <row r="17" spans="1:6" s="6" customFormat="1">
      <c r="A17" s="6">
        <v>14</v>
      </c>
      <c r="B17" s="12" t="s">
        <v>285</v>
      </c>
      <c r="C17" s="6" t="s">
        <v>284</v>
      </c>
      <c r="E17" s="6" t="s">
        <v>290</v>
      </c>
      <c r="F17" s="6" t="s">
        <v>151</v>
      </c>
    </row>
    <row r="18" spans="1:6" s="6" customFormat="1">
      <c r="A18" s="6">
        <v>15</v>
      </c>
      <c r="B18" s="12" t="s">
        <v>289</v>
      </c>
      <c r="C18" s="6" t="s">
        <v>284</v>
      </c>
      <c r="E18" s="6" t="s">
        <v>291</v>
      </c>
      <c r="F18" s="6" t="s">
        <v>151</v>
      </c>
    </row>
    <row r="19" spans="1:6">
      <c r="A19" s="6">
        <v>16</v>
      </c>
      <c r="B19" s="12" t="s">
        <v>304</v>
      </c>
      <c r="C19" s="6" t="s">
        <v>284</v>
      </c>
      <c r="E19" s="6" t="s">
        <v>305</v>
      </c>
      <c r="F19" s="6" t="s">
        <v>151</v>
      </c>
    </row>
    <row r="20" spans="1:6" s="6" customFormat="1">
      <c r="A20" s="6">
        <v>17</v>
      </c>
      <c r="B20" s="12" t="s">
        <v>318</v>
      </c>
      <c r="C20" s="6" t="s">
        <v>284</v>
      </c>
      <c r="E20" s="6" t="s">
        <v>319</v>
      </c>
      <c r="F20" s="6" t="s">
        <v>151</v>
      </c>
    </row>
    <row r="21" spans="1:6" s="6" customFormat="1">
      <c r="A21" s="6">
        <v>18</v>
      </c>
      <c r="B21" s="12" t="s">
        <v>323</v>
      </c>
      <c r="C21" s="6" t="s">
        <v>343</v>
      </c>
      <c r="E21" s="6" t="s">
        <v>329</v>
      </c>
      <c r="F21" s="6" t="s">
        <v>151</v>
      </c>
    </row>
    <row r="22" spans="1:6" s="6" customFormat="1">
      <c r="A22" s="6">
        <v>19</v>
      </c>
      <c r="B22" s="12" t="s">
        <v>328</v>
      </c>
      <c r="C22" s="6" t="s">
        <v>343</v>
      </c>
      <c r="E22" s="6" t="s">
        <v>330</v>
      </c>
      <c r="F22" s="6" t="s">
        <v>151</v>
      </c>
    </row>
    <row r="23" spans="1:6" s="6" customFormat="1">
      <c r="A23" s="6">
        <v>20</v>
      </c>
      <c r="B23" s="12" t="s">
        <v>342</v>
      </c>
      <c r="C23" s="6" t="s">
        <v>343</v>
      </c>
      <c r="E23" s="6" t="s">
        <v>344</v>
      </c>
      <c r="F23" s="6" t="s">
        <v>151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disablePrompts="1" count="1">
    <dataValidation type="list" allowBlank="1" showInputMessage="1" showErrorMessage="1" sqref="F3:F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workbookViewId="0">
      <pane xSplit="1" ySplit="2" topLeftCell="B93" activePane="bottomRight" state="frozen"/>
      <selection pane="topRight" activeCell="B1" sqref="B1"/>
      <selection pane="bottomLeft" activeCell="A3" sqref="A3"/>
      <selection pane="bottomRight" activeCell="F110" sqref="F110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6.7109375" style="6" customWidth="1"/>
    <col min="6" max="6" width="6.5703125" customWidth="1"/>
    <col min="7" max="7" width="7.85546875" customWidth="1"/>
    <col min="8" max="8" width="6.85546875" customWidth="1"/>
    <col min="9" max="12" width="15" customWidth="1"/>
    <col min="13" max="13" width="14.14062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118</v>
      </c>
      <c r="E1" s="7" t="s">
        <v>109</v>
      </c>
      <c r="F1" s="7" t="s">
        <v>254</v>
      </c>
      <c r="G1" s="7" t="s">
        <v>255</v>
      </c>
      <c r="H1" s="7" t="s">
        <v>264</v>
      </c>
      <c r="I1" s="7" t="s">
        <v>249</v>
      </c>
      <c r="J1" s="7" t="s">
        <v>251</v>
      </c>
      <c r="K1" s="7" t="s">
        <v>258</v>
      </c>
      <c r="L1" s="7" t="s">
        <v>260</v>
      </c>
      <c r="M1" s="7" t="s">
        <v>117</v>
      </c>
      <c r="N1" s="7" t="s">
        <v>112</v>
      </c>
      <c r="O1" s="7" t="s">
        <v>113</v>
      </c>
    </row>
    <row r="2" spans="1:17" s="7" customFormat="1">
      <c r="A2" s="7" t="s">
        <v>80</v>
      </c>
      <c r="B2" s="7" t="s">
        <v>88</v>
      </c>
      <c r="C2" s="7" t="s">
        <v>89</v>
      </c>
      <c r="D2" s="7" t="s">
        <v>132</v>
      </c>
      <c r="E2" s="7" t="s">
        <v>110</v>
      </c>
      <c r="F2" s="7" t="s">
        <v>253</v>
      </c>
      <c r="G2" s="7" t="s">
        <v>252</v>
      </c>
      <c r="H2" s="7" t="s">
        <v>263</v>
      </c>
      <c r="I2" s="7" t="s">
        <v>248</v>
      </c>
      <c r="J2" s="7" t="s">
        <v>250</v>
      </c>
      <c r="K2" s="7" t="s">
        <v>257</v>
      </c>
      <c r="L2" s="7" t="s">
        <v>259</v>
      </c>
      <c r="M2" s="7" t="s">
        <v>116</v>
      </c>
      <c r="N2" s="7" t="s">
        <v>111</v>
      </c>
      <c r="O2" s="7" t="s">
        <v>114</v>
      </c>
    </row>
    <row r="3" spans="1:17">
      <c r="B3" s="12"/>
    </row>
    <row r="4" spans="1:17">
      <c r="B4" s="7" t="s">
        <v>92</v>
      </c>
    </row>
    <row r="5" spans="1:17" s="6" customFormat="1">
      <c r="A5" s="6" t="s">
        <v>102</v>
      </c>
      <c r="B5" s="12" t="s">
        <v>101</v>
      </c>
      <c r="D5" s="6" t="s">
        <v>122</v>
      </c>
      <c r="E5" s="6">
        <v>1</v>
      </c>
      <c r="F5" s="6">
        <v>0.3</v>
      </c>
      <c r="I5" s="6" t="s">
        <v>256</v>
      </c>
      <c r="N5" s="6" t="s">
        <v>125</v>
      </c>
    </row>
    <row r="6" spans="1:17" s="6" customFormat="1">
      <c r="A6" s="6" t="s">
        <v>103</v>
      </c>
      <c r="B6" s="12" t="s">
        <v>106</v>
      </c>
      <c r="D6" s="6" t="s">
        <v>120</v>
      </c>
      <c r="E6" s="6">
        <v>15</v>
      </c>
      <c r="F6" s="6">
        <v>5</v>
      </c>
      <c r="G6" s="6">
        <f>ROUND((E6/10)*(100/20),0)</f>
        <v>8</v>
      </c>
      <c r="I6" s="6" t="s">
        <v>245</v>
      </c>
      <c r="K6" s="6" t="s">
        <v>261</v>
      </c>
      <c r="L6" s="6">
        <v>2</v>
      </c>
      <c r="N6" s="6" t="s">
        <v>126</v>
      </c>
    </row>
    <row r="7" spans="1:17" s="6" customFormat="1">
      <c r="A7" s="6" t="s">
        <v>104</v>
      </c>
      <c r="B7" s="12" t="s">
        <v>107</v>
      </c>
      <c r="D7" s="6" t="s">
        <v>120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246</v>
      </c>
      <c r="N7" s="6" t="s">
        <v>127</v>
      </c>
      <c r="Q7" s="12"/>
    </row>
    <row r="8" spans="1:17" s="6" customFormat="1">
      <c r="A8" s="6" t="s">
        <v>105</v>
      </c>
      <c r="B8" s="12" t="s">
        <v>108</v>
      </c>
      <c r="D8" s="6" t="s">
        <v>124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247</v>
      </c>
      <c r="M8" s="6" t="s">
        <v>115</v>
      </c>
      <c r="N8" s="6" t="s">
        <v>128</v>
      </c>
      <c r="Q8" s="12"/>
    </row>
    <row r="9" spans="1:17">
      <c r="B9" s="12"/>
      <c r="Q9" s="6"/>
    </row>
    <row r="10" spans="1:17">
      <c r="B10" s="7" t="s">
        <v>135</v>
      </c>
      <c r="Q10" s="6"/>
    </row>
    <row r="11" spans="1:17" s="6" customFormat="1">
      <c r="A11" s="6" t="s">
        <v>168</v>
      </c>
      <c r="B11" s="12" t="s">
        <v>101</v>
      </c>
      <c r="D11" s="6" t="s">
        <v>122</v>
      </c>
      <c r="E11" s="6">
        <v>1</v>
      </c>
      <c r="F11" s="6">
        <v>0.3</v>
      </c>
      <c r="I11" s="6" t="s">
        <v>256</v>
      </c>
      <c r="N11" s="6" t="s">
        <v>125</v>
      </c>
    </row>
    <row r="12" spans="1:17" s="6" customFormat="1">
      <c r="A12" s="6" t="s">
        <v>169</v>
      </c>
      <c r="B12" s="12" t="s">
        <v>212</v>
      </c>
      <c r="D12" s="6" t="s">
        <v>120</v>
      </c>
      <c r="E12" s="6">
        <v>15</v>
      </c>
      <c r="F12" s="6">
        <v>5</v>
      </c>
      <c r="G12" s="6">
        <f>ROUND((E12/10)*(100/20),0)</f>
        <v>8</v>
      </c>
      <c r="I12" s="6" t="s">
        <v>266</v>
      </c>
      <c r="N12" s="6" t="s">
        <v>126</v>
      </c>
    </row>
    <row r="13" spans="1:17" s="6" customFormat="1">
      <c r="A13" s="6" t="s">
        <v>170</v>
      </c>
      <c r="B13" s="12" t="s">
        <v>213</v>
      </c>
      <c r="D13" s="6" t="s">
        <v>120</v>
      </c>
      <c r="E13" s="6">
        <v>20</v>
      </c>
      <c r="F13" s="6">
        <v>5</v>
      </c>
      <c r="G13" s="6">
        <f>ROUND((E13/10)*(100/20),0)</f>
        <v>10</v>
      </c>
      <c r="I13" s="6" t="s">
        <v>246</v>
      </c>
      <c r="N13" s="6" t="s">
        <v>127</v>
      </c>
    </row>
    <row r="14" spans="1:17" s="6" customFormat="1">
      <c r="A14" s="6" t="s">
        <v>171</v>
      </c>
      <c r="B14" s="12" t="s">
        <v>214</v>
      </c>
      <c r="D14" s="6" t="s">
        <v>124</v>
      </c>
      <c r="E14" s="6">
        <v>80</v>
      </c>
      <c r="F14" s="6">
        <v>5</v>
      </c>
      <c r="G14" s="6">
        <f>ROUND((E14/10)*(100/20),0)</f>
        <v>40</v>
      </c>
      <c r="I14" s="6" t="s">
        <v>244</v>
      </c>
      <c r="M14" s="6" t="s">
        <v>115</v>
      </c>
      <c r="N14" s="6" t="s">
        <v>128</v>
      </c>
    </row>
    <row r="15" spans="1:17" s="6" customFormat="1">
      <c r="B15" s="12"/>
    </row>
    <row r="16" spans="1:17">
      <c r="B16" s="7" t="s">
        <v>137</v>
      </c>
      <c r="F16" s="6"/>
      <c r="G16" s="6"/>
    </row>
    <row r="17" spans="1:14" s="6" customFormat="1">
      <c r="A17" s="6" t="s">
        <v>172</v>
      </c>
      <c r="B17" s="12" t="s">
        <v>101</v>
      </c>
      <c r="D17" s="6" t="s">
        <v>122</v>
      </c>
      <c r="E17" s="6">
        <v>1</v>
      </c>
      <c r="F17" s="6">
        <v>0.3</v>
      </c>
      <c r="I17" s="6" t="s">
        <v>256</v>
      </c>
      <c r="N17" s="6" t="s">
        <v>125</v>
      </c>
    </row>
    <row r="18" spans="1:14" s="6" customFormat="1">
      <c r="A18" s="6" t="s">
        <v>173</v>
      </c>
      <c r="B18" s="12" t="s">
        <v>216</v>
      </c>
      <c r="D18" s="6" t="s">
        <v>120</v>
      </c>
      <c r="E18" s="6">
        <v>10</v>
      </c>
      <c r="F18" s="6">
        <v>5</v>
      </c>
      <c r="G18" s="6">
        <f>ROUND((E18/10)*(100/20),0)</f>
        <v>5</v>
      </c>
      <c r="I18" s="6" t="s">
        <v>245</v>
      </c>
      <c r="K18" s="6" t="s">
        <v>262</v>
      </c>
      <c r="L18" s="6">
        <v>30</v>
      </c>
      <c r="N18" s="6" t="s">
        <v>126</v>
      </c>
    </row>
    <row r="19" spans="1:14" s="6" customFormat="1">
      <c r="A19" s="6" t="s">
        <v>174</v>
      </c>
      <c r="B19" s="12" t="s">
        <v>215</v>
      </c>
      <c r="D19" s="6" t="s">
        <v>120</v>
      </c>
      <c r="E19" s="6">
        <v>30</v>
      </c>
      <c r="F19" s="6">
        <v>5</v>
      </c>
      <c r="G19" s="6">
        <f>ROUND((E19/10)*(100/20),0)</f>
        <v>15</v>
      </c>
      <c r="I19" s="6" t="s">
        <v>244</v>
      </c>
      <c r="N19" s="6" t="s">
        <v>127</v>
      </c>
    </row>
    <row r="20" spans="1:14" s="6" customFormat="1">
      <c r="A20" s="6" t="s">
        <v>175</v>
      </c>
      <c r="B20" s="12" t="s">
        <v>217</v>
      </c>
      <c r="D20" s="6" t="s">
        <v>124</v>
      </c>
      <c r="E20" s="6">
        <v>100</v>
      </c>
      <c r="F20" s="6">
        <v>5</v>
      </c>
      <c r="G20" s="6">
        <f>ROUND((E20/10)*(100/20),0)</f>
        <v>50</v>
      </c>
      <c r="I20" s="6" t="s">
        <v>256</v>
      </c>
      <c r="K20" s="6" t="s">
        <v>262</v>
      </c>
      <c r="L20" s="6">
        <v>50</v>
      </c>
      <c r="M20" s="6" t="s">
        <v>115</v>
      </c>
      <c r="N20" s="6" t="s">
        <v>128</v>
      </c>
    </row>
    <row r="21" spans="1:14" s="6" customFormat="1"/>
    <row r="22" spans="1:14">
      <c r="B22" s="7" t="s">
        <v>138</v>
      </c>
    </row>
    <row r="23" spans="1:14" s="6" customFormat="1">
      <c r="A23" s="6" t="s">
        <v>176</v>
      </c>
      <c r="B23" s="12" t="s">
        <v>101</v>
      </c>
      <c r="D23" s="6" t="s">
        <v>122</v>
      </c>
      <c r="E23" s="6">
        <v>1</v>
      </c>
      <c r="F23" s="6">
        <v>0.3</v>
      </c>
      <c r="I23" s="6" t="s">
        <v>256</v>
      </c>
      <c r="N23" s="6" t="s">
        <v>125</v>
      </c>
    </row>
    <row r="24" spans="1:14" s="6" customFormat="1">
      <c r="A24" s="6" t="s">
        <v>177</v>
      </c>
      <c r="B24" s="12" t="s">
        <v>218</v>
      </c>
      <c r="D24" s="6" t="s">
        <v>120</v>
      </c>
      <c r="E24" s="6">
        <v>20</v>
      </c>
      <c r="F24" s="6">
        <v>5</v>
      </c>
      <c r="G24" s="6">
        <f>ROUND((E24/10)*(100/20),0)</f>
        <v>10</v>
      </c>
      <c r="I24" s="6" t="s">
        <v>266</v>
      </c>
      <c r="N24" s="6" t="s">
        <v>126</v>
      </c>
    </row>
    <row r="25" spans="1:14" s="6" customFormat="1">
      <c r="A25" s="6" t="s">
        <v>178</v>
      </c>
      <c r="B25" s="12" t="s">
        <v>219</v>
      </c>
      <c r="D25" s="6" t="s">
        <v>120</v>
      </c>
      <c r="E25" s="6">
        <v>30</v>
      </c>
      <c r="F25" s="6">
        <v>5</v>
      </c>
      <c r="G25" s="6">
        <f>ROUND((E25/10)*(100/20),0)</f>
        <v>15</v>
      </c>
      <c r="I25" s="6" t="s">
        <v>246</v>
      </c>
      <c r="N25" s="6" t="s">
        <v>127</v>
      </c>
    </row>
    <row r="26" spans="1:14" s="6" customFormat="1">
      <c r="A26" s="6" t="s">
        <v>179</v>
      </c>
      <c r="B26" s="12" t="s">
        <v>220</v>
      </c>
      <c r="D26" s="6" t="s">
        <v>124</v>
      </c>
      <c r="E26" s="6">
        <v>100</v>
      </c>
      <c r="F26" s="6">
        <v>5</v>
      </c>
      <c r="G26" s="6">
        <f>ROUND((E26/10)*(100/20),0)</f>
        <v>50</v>
      </c>
      <c r="I26" s="6" t="s">
        <v>244</v>
      </c>
      <c r="M26" s="6" t="s">
        <v>115</v>
      </c>
      <c r="N26" s="6" t="s">
        <v>128</v>
      </c>
    </row>
    <row r="27" spans="1:14" s="6" customFormat="1">
      <c r="B27" s="12"/>
    </row>
    <row r="28" spans="1:14">
      <c r="B28" s="7" t="s">
        <v>139</v>
      </c>
    </row>
    <row r="29" spans="1:14" s="6" customFormat="1">
      <c r="A29" s="6" t="s">
        <v>180</v>
      </c>
      <c r="B29" s="12" t="s">
        <v>101</v>
      </c>
      <c r="D29" s="6" t="s">
        <v>122</v>
      </c>
      <c r="E29" s="6">
        <v>1</v>
      </c>
      <c r="F29" s="6">
        <v>0.3</v>
      </c>
      <c r="I29" s="6" t="s">
        <v>256</v>
      </c>
      <c r="N29" s="6" t="s">
        <v>125</v>
      </c>
    </row>
    <row r="30" spans="1:14" s="6" customFormat="1">
      <c r="A30" s="6" t="s">
        <v>181</v>
      </c>
      <c r="B30" s="12" t="s">
        <v>221</v>
      </c>
      <c r="D30" s="6" t="s">
        <v>120</v>
      </c>
      <c r="E30" s="6">
        <v>20</v>
      </c>
      <c r="F30" s="6">
        <v>5</v>
      </c>
      <c r="G30" s="6">
        <f>ROUND((E30/10)*(100/20),0)</f>
        <v>10</v>
      </c>
      <c r="I30" s="6" t="s">
        <v>245</v>
      </c>
      <c r="K30" s="6" t="s">
        <v>262</v>
      </c>
      <c r="L30" s="6">
        <v>30</v>
      </c>
      <c r="N30" s="6" t="s">
        <v>126</v>
      </c>
    </row>
    <row r="31" spans="1:14" s="6" customFormat="1">
      <c r="A31" s="6" t="s">
        <v>182</v>
      </c>
      <c r="B31" s="12" t="s">
        <v>222</v>
      </c>
      <c r="D31" s="6" t="s">
        <v>120</v>
      </c>
      <c r="E31" s="6">
        <v>40</v>
      </c>
      <c r="F31" s="6">
        <v>5</v>
      </c>
      <c r="G31" s="6">
        <f>ROUND((E31/10)*(100/20),0)</f>
        <v>20</v>
      </c>
      <c r="I31" s="6" t="s">
        <v>246</v>
      </c>
      <c r="N31" s="6" t="s">
        <v>127</v>
      </c>
    </row>
    <row r="32" spans="1:14" s="6" customFormat="1">
      <c r="A32" s="6" t="s">
        <v>183</v>
      </c>
      <c r="B32" s="12" t="s">
        <v>223</v>
      </c>
      <c r="D32" s="6" t="s">
        <v>124</v>
      </c>
      <c r="E32" s="6">
        <v>90</v>
      </c>
      <c r="F32" s="6">
        <v>5</v>
      </c>
      <c r="G32" s="6">
        <f>ROUND((E32/10)*(100/20),0)</f>
        <v>45</v>
      </c>
      <c r="I32" s="6" t="s">
        <v>245</v>
      </c>
      <c r="K32" s="6" t="s">
        <v>261</v>
      </c>
      <c r="L32" s="6">
        <v>5</v>
      </c>
      <c r="M32" s="6" t="s">
        <v>115</v>
      </c>
      <c r="N32" s="6" t="s">
        <v>128</v>
      </c>
    </row>
    <row r="33" spans="1:17" s="6" customFormat="1">
      <c r="B33" s="12"/>
    </row>
    <row r="34" spans="1:17">
      <c r="B34" s="7" t="s">
        <v>141</v>
      </c>
    </row>
    <row r="35" spans="1:17" s="6" customFormat="1">
      <c r="A35" s="6" t="s">
        <v>184</v>
      </c>
      <c r="B35" s="12" t="s">
        <v>101</v>
      </c>
      <c r="D35" s="6" t="s">
        <v>122</v>
      </c>
      <c r="E35" s="6">
        <v>1</v>
      </c>
      <c r="F35" s="6">
        <v>0.3</v>
      </c>
      <c r="I35" s="6" t="s">
        <v>256</v>
      </c>
      <c r="N35" s="6" t="s">
        <v>125</v>
      </c>
    </row>
    <row r="36" spans="1:17" s="6" customFormat="1">
      <c r="A36" s="6" t="s">
        <v>185</v>
      </c>
      <c r="B36" s="12" t="s">
        <v>224</v>
      </c>
      <c r="D36" s="6" t="s">
        <v>120</v>
      </c>
      <c r="E36" s="6">
        <v>15</v>
      </c>
      <c r="F36" s="6">
        <v>5</v>
      </c>
      <c r="G36" s="6">
        <f>ROUND((E36/10)*(100/20),0)</f>
        <v>8</v>
      </c>
      <c r="I36" s="6" t="s">
        <v>267</v>
      </c>
      <c r="N36" s="6" t="s">
        <v>126</v>
      </c>
    </row>
    <row r="37" spans="1:17" s="6" customFormat="1">
      <c r="A37" s="6" t="s">
        <v>186</v>
      </c>
      <c r="B37" s="12" t="s">
        <v>225</v>
      </c>
      <c r="D37" s="6" t="s">
        <v>120</v>
      </c>
      <c r="E37" s="6">
        <v>20</v>
      </c>
      <c r="F37" s="6">
        <v>5</v>
      </c>
      <c r="G37" s="6">
        <f>ROUND((E37/10)*(100/20),0)</f>
        <v>10</v>
      </c>
      <c r="I37" s="6" t="s">
        <v>268</v>
      </c>
      <c r="N37" s="6" t="s">
        <v>127</v>
      </c>
    </row>
    <row r="38" spans="1:17" s="6" customFormat="1">
      <c r="A38" s="6" t="s">
        <v>187</v>
      </c>
      <c r="B38" s="12" t="s">
        <v>226</v>
      </c>
      <c r="D38" s="6" t="s">
        <v>124</v>
      </c>
      <c r="E38" s="6">
        <v>80</v>
      </c>
      <c r="F38" s="6">
        <v>5</v>
      </c>
      <c r="G38" s="6">
        <f>ROUND((E38/10)*(100/20),0)</f>
        <v>40</v>
      </c>
      <c r="I38" s="6" t="s">
        <v>268</v>
      </c>
      <c r="M38" s="6" t="s">
        <v>115</v>
      </c>
      <c r="N38" s="6" t="s">
        <v>128</v>
      </c>
    </row>
    <row r="39" spans="1:17" s="6" customFormat="1">
      <c r="B39" s="12"/>
    </row>
    <row r="40" spans="1:17">
      <c r="B40" s="7" t="s">
        <v>143</v>
      </c>
    </row>
    <row r="41" spans="1:17" s="6" customFormat="1">
      <c r="A41" s="6" t="s">
        <v>188</v>
      </c>
      <c r="B41" s="12" t="s">
        <v>101</v>
      </c>
      <c r="D41" s="6" t="s">
        <v>122</v>
      </c>
      <c r="E41" s="6">
        <v>1</v>
      </c>
      <c r="F41" s="6">
        <v>0.3</v>
      </c>
      <c r="I41" s="6" t="s">
        <v>256</v>
      </c>
      <c r="N41" s="6" t="s">
        <v>125</v>
      </c>
    </row>
    <row r="42" spans="1:17" s="6" customFormat="1">
      <c r="A42" s="6" t="s">
        <v>189</v>
      </c>
      <c r="B42" s="12" t="s">
        <v>227</v>
      </c>
      <c r="D42" s="6" t="s">
        <v>120</v>
      </c>
      <c r="E42" s="6">
        <v>15</v>
      </c>
      <c r="F42" s="6">
        <v>5</v>
      </c>
      <c r="G42" s="6">
        <f>ROUND((E42/10)*(100/20),0)</f>
        <v>8</v>
      </c>
      <c r="I42" s="6" t="s">
        <v>268</v>
      </c>
      <c r="N42" s="6" t="s">
        <v>126</v>
      </c>
    </row>
    <row r="43" spans="1:17" s="6" customFormat="1">
      <c r="A43" s="6" t="s">
        <v>190</v>
      </c>
      <c r="B43" s="12" t="s">
        <v>228</v>
      </c>
      <c r="D43" s="6" t="s">
        <v>120</v>
      </c>
      <c r="E43" s="6">
        <v>15</v>
      </c>
      <c r="F43" s="6">
        <v>5</v>
      </c>
      <c r="G43" s="6">
        <f>ROUND((E43/10)*(100/20),0)</f>
        <v>8</v>
      </c>
      <c r="I43" s="6" t="s">
        <v>266</v>
      </c>
      <c r="N43" s="6" t="s">
        <v>127</v>
      </c>
    </row>
    <row r="44" spans="1:17" s="6" customFormat="1">
      <c r="A44" s="6" t="s">
        <v>191</v>
      </c>
      <c r="B44" s="12" t="s">
        <v>229</v>
      </c>
      <c r="D44" s="6" t="s">
        <v>124</v>
      </c>
      <c r="E44" s="6">
        <v>100</v>
      </c>
      <c r="F44" s="6">
        <v>5</v>
      </c>
      <c r="G44" s="6">
        <f>ROUND((E44/10)*(100/20),0)</f>
        <v>50</v>
      </c>
      <c r="I44" s="6" t="s">
        <v>246</v>
      </c>
      <c r="M44" s="6" t="s">
        <v>115</v>
      </c>
      <c r="N44" s="6" t="s">
        <v>128</v>
      </c>
    </row>
    <row r="45" spans="1:17" s="6" customFormat="1">
      <c r="B45" s="12"/>
    </row>
    <row r="46" spans="1:17">
      <c r="B46" s="7" t="s">
        <v>146</v>
      </c>
      <c r="Q46" s="6"/>
    </row>
    <row r="47" spans="1:17" s="6" customFormat="1">
      <c r="A47" s="6" t="s">
        <v>192</v>
      </c>
      <c r="B47" s="12" t="s">
        <v>101</v>
      </c>
      <c r="D47" s="6" t="s">
        <v>122</v>
      </c>
      <c r="E47" s="6">
        <v>1</v>
      </c>
      <c r="F47" s="6">
        <v>0.3</v>
      </c>
      <c r="I47" s="6" t="s">
        <v>256</v>
      </c>
      <c r="N47" s="6" t="s">
        <v>125</v>
      </c>
    </row>
    <row r="48" spans="1:17" s="6" customFormat="1">
      <c r="A48" s="6" t="s">
        <v>193</v>
      </c>
      <c r="B48" s="12" t="s">
        <v>230</v>
      </c>
      <c r="D48" s="6" t="s">
        <v>120</v>
      </c>
      <c r="E48" s="6">
        <v>10</v>
      </c>
      <c r="F48" s="6">
        <v>5</v>
      </c>
      <c r="G48" s="6">
        <f>ROUND((E48/10)*(100/20),0)</f>
        <v>5</v>
      </c>
      <c r="I48" s="6" t="s">
        <v>266</v>
      </c>
      <c r="N48" s="6" t="s">
        <v>126</v>
      </c>
    </row>
    <row r="49" spans="1:14" s="6" customFormat="1">
      <c r="A49" s="6" t="s">
        <v>194</v>
      </c>
      <c r="B49" s="12" t="s">
        <v>231</v>
      </c>
      <c r="D49" s="6" t="s">
        <v>120</v>
      </c>
      <c r="E49" s="6">
        <v>20</v>
      </c>
      <c r="F49" s="6">
        <v>5</v>
      </c>
      <c r="G49" s="6">
        <f>ROUND((E49/10)*(100/20),0)</f>
        <v>10</v>
      </c>
      <c r="I49" s="6" t="s">
        <v>247</v>
      </c>
      <c r="N49" s="6" t="s">
        <v>127</v>
      </c>
    </row>
    <row r="50" spans="1:14" s="6" customFormat="1">
      <c r="A50" s="6" t="s">
        <v>195</v>
      </c>
      <c r="B50" s="12" t="s">
        <v>232</v>
      </c>
      <c r="D50" s="6" t="s">
        <v>124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 t="s">
        <v>269</v>
      </c>
      <c r="M50" s="6" t="s">
        <v>115</v>
      </c>
      <c r="N50" s="6" t="s">
        <v>128</v>
      </c>
    </row>
    <row r="51" spans="1:14" s="6" customFormat="1">
      <c r="B51" s="12"/>
    </row>
    <row r="52" spans="1:14">
      <c r="B52" s="7" t="s">
        <v>144</v>
      </c>
    </row>
    <row r="53" spans="1:14" s="6" customFormat="1">
      <c r="A53" s="6" t="s">
        <v>196</v>
      </c>
      <c r="B53" s="12" t="s">
        <v>101</v>
      </c>
      <c r="D53" s="6" t="s">
        <v>122</v>
      </c>
      <c r="E53" s="6">
        <v>1</v>
      </c>
      <c r="F53" s="6">
        <v>0.3</v>
      </c>
      <c r="I53" s="6" t="s">
        <v>256</v>
      </c>
      <c r="N53" s="6" t="s">
        <v>125</v>
      </c>
    </row>
    <row r="54" spans="1:14" s="6" customFormat="1">
      <c r="A54" s="6" t="s">
        <v>197</v>
      </c>
      <c r="B54" s="12" t="s">
        <v>233</v>
      </c>
      <c r="D54" s="6" t="s">
        <v>120</v>
      </c>
      <c r="E54" s="6">
        <v>20</v>
      </c>
      <c r="F54" s="6">
        <v>5</v>
      </c>
      <c r="G54" s="6">
        <f>ROUND((E54/10)*(100/20),0)</f>
        <v>10</v>
      </c>
      <c r="I54" s="6" t="s">
        <v>246</v>
      </c>
      <c r="N54" s="6" t="s">
        <v>126</v>
      </c>
    </row>
    <row r="55" spans="1:14" s="6" customFormat="1">
      <c r="A55" s="6" t="s">
        <v>198</v>
      </c>
      <c r="B55" s="12" t="s">
        <v>234</v>
      </c>
      <c r="D55" s="6" t="s">
        <v>120</v>
      </c>
      <c r="E55" s="6">
        <v>30</v>
      </c>
      <c r="F55" s="6">
        <v>5</v>
      </c>
      <c r="G55" s="6">
        <f>ROUND((E55/10)*(100/20),0)</f>
        <v>15</v>
      </c>
      <c r="I55" s="6" t="s">
        <v>246</v>
      </c>
      <c r="N55" s="6" t="s">
        <v>127</v>
      </c>
    </row>
    <row r="56" spans="1:14" s="6" customFormat="1">
      <c r="A56" s="6" t="s">
        <v>199</v>
      </c>
      <c r="B56" s="12" t="s">
        <v>235</v>
      </c>
      <c r="D56" s="6" t="s">
        <v>124</v>
      </c>
      <c r="E56" s="6">
        <v>70</v>
      </c>
      <c r="F56" s="6">
        <v>5</v>
      </c>
      <c r="G56" s="6">
        <f>ROUND((E56/10)*(100/20),0)</f>
        <v>35</v>
      </c>
      <c r="I56" s="6" t="s">
        <v>246</v>
      </c>
      <c r="M56" s="6" t="s">
        <v>115</v>
      </c>
      <c r="N56" s="6" t="s">
        <v>128</v>
      </c>
    </row>
    <row r="57" spans="1:14" s="6" customFormat="1">
      <c r="B57" s="12"/>
    </row>
    <row r="58" spans="1:14">
      <c r="B58" s="7" t="s">
        <v>148</v>
      </c>
    </row>
    <row r="59" spans="1:14" s="6" customFormat="1">
      <c r="A59" s="6" t="s">
        <v>200</v>
      </c>
      <c r="B59" s="12" t="s">
        <v>101</v>
      </c>
      <c r="D59" s="6" t="s">
        <v>122</v>
      </c>
      <c r="E59" s="6">
        <v>1</v>
      </c>
      <c r="F59" s="6">
        <v>0.3</v>
      </c>
      <c r="I59" s="6" t="s">
        <v>256</v>
      </c>
      <c r="N59" s="6" t="s">
        <v>125</v>
      </c>
    </row>
    <row r="60" spans="1:14" s="6" customFormat="1">
      <c r="A60" s="6" t="s">
        <v>201</v>
      </c>
      <c r="B60" s="12" t="s">
        <v>236</v>
      </c>
      <c r="D60" s="6" t="s">
        <v>120</v>
      </c>
      <c r="E60" s="6">
        <v>20</v>
      </c>
      <c r="F60" s="6">
        <v>5</v>
      </c>
      <c r="G60" s="6">
        <f>ROUND((E60/10)*(100/20),0)</f>
        <v>10</v>
      </c>
      <c r="I60" s="6" t="s">
        <v>246</v>
      </c>
      <c r="N60" s="6" t="s">
        <v>126</v>
      </c>
    </row>
    <row r="61" spans="1:14" s="6" customFormat="1">
      <c r="A61" s="6" t="s">
        <v>202</v>
      </c>
      <c r="B61" s="12" t="s">
        <v>237</v>
      </c>
      <c r="D61" s="6" t="s">
        <v>120</v>
      </c>
      <c r="E61" s="6">
        <v>30</v>
      </c>
      <c r="F61" s="6">
        <v>5</v>
      </c>
      <c r="G61" s="6">
        <f>ROUND((E61/10)*(100/20),0)</f>
        <v>15</v>
      </c>
      <c r="I61" s="6" t="s">
        <v>246</v>
      </c>
      <c r="N61" s="6" t="s">
        <v>127</v>
      </c>
    </row>
    <row r="62" spans="1:14" s="6" customFormat="1">
      <c r="A62" s="6" t="s">
        <v>203</v>
      </c>
      <c r="B62" s="12" t="s">
        <v>238</v>
      </c>
      <c r="D62" s="6" t="s">
        <v>124</v>
      </c>
      <c r="E62" s="6">
        <v>90</v>
      </c>
      <c r="F62" s="6">
        <v>5</v>
      </c>
      <c r="G62" s="6">
        <f>ROUND((E62/10)*(100/20),0)</f>
        <v>45</v>
      </c>
      <c r="I62" s="6" t="s">
        <v>246</v>
      </c>
      <c r="M62" s="6" t="s">
        <v>115</v>
      </c>
      <c r="N62" s="6" t="s">
        <v>128</v>
      </c>
    </row>
    <row r="63" spans="1:14" s="6" customFormat="1">
      <c r="B63" s="12"/>
    </row>
    <row r="64" spans="1:14">
      <c r="B64" s="7" t="s">
        <v>145</v>
      </c>
    </row>
    <row r="65" spans="1:14" s="6" customFormat="1">
      <c r="A65" s="6" t="s">
        <v>204</v>
      </c>
      <c r="B65" s="12" t="s">
        <v>101</v>
      </c>
      <c r="D65" s="6" t="s">
        <v>122</v>
      </c>
      <c r="E65" s="6">
        <v>1</v>
      </c>
      <c r="F65" s="6">
        <v>0.3</v>
      </c>
      <c r="I65" s="6" t="s">
        <v>256</v>
      </c>
      <c r="N65" s="6" t="s">
        <v>125</v>
      </c>
    </row>
    <row r="66" spans="1:14" s="6" customFormat="1">
      <c r="A66" s="6" t="s">
        <v>205</v>
      </c>
      <c r="B66" s="12" t="s">
        <v>239</v>
      </c>
      <c r="D66" s="6" t="s">
        <v>120</v>
      </c>
      <c r="E66" s="6">
        <v>50</v>
      </c>
      <c r="F66" s="6">
        <v>5</v>
      </c>
      <c r="G66" s="6">
        <f>ROUND((E66/10)*(100/20),0)</f>
        <v>25</v>
      </c>
      <c r="I66" s="6" t="s">
        <v>246</v>
      </c>
      <c r="N66" s="6" t="s">
        <v>126</v>
      </c>
    </row>
    <row r="67" spans="1:14" s="6" customFormat="1">
      <c r="A67" s="6" t="s">
        <v>206</v>
      </c>
      <c r="B67" s="12" t="s">
        <v>240</v>
      </c>
      <c r="D67" s="6" t="s">
        <v>120</v>
      </c>
      <c r="E67" s="6">
        <v>15</v>
      </c>
      <c r="F67" s="6">
        <v>5</v>
      </c>
      <c r="G67" s="6">
        <f>ROUND((E67/10)*(100/20),0)</f>
        <v>8</v>
      </c>
      <c r="I67" s="6" t="s">
        <v>244</v>
      </c>
      <c r="N67" s="6" t="s">
        <v>127</v>
      </c>
    </row>
    <row r="68" spans="1:14" s="6" customFormat="1">
      <c r="A68" s="6" t="s">
        <v>207</v>
      </c>
      <c r="B68" s="12" t="s">
        <v>241</v>
      </c>
      <c r="D68" s="6" t="s">
        <v>124</v>
      </c>
      <c r="E68" s="6">
        <v>80</v>
      </c>
      <c r="F68" s="6">
        <v>5</v>
      </c>
      <c r="G68" s="6">
        <f>ROUND((E68/10)*(100/20),0)</f>
        <v>40</v>
      </c>
      <c r="I68" s="6" t="s">
        <v>246</v>
      </c>
      <c r="M68" s="6" t="s">
        <v>115</v>
      </c>
      <c r="N68" s="6" t="s">
        <v>128</v>
      </c>
    </row>
    <row r="69" spans="1:14" s="6" customFormat="1">
      <c r="B69" s="12"/>
    </row>
    <row r="70" spans="1:14">
      <c r="B70" s="7" t="s">
        <v>150</v>
      </c>
    </row>
    <row r="71" spans="1:14" s="6" customFormat="1">
      <c r="A71" s="6" t="s">
        <v>208</v>
      </c>
      <c r="B71" s="12" t="s">
        <v>101</v>
      </c>
      <c r="D71" s="6" t="s">
        <v>122</v>
      </c>
      <c r="E71" s="6">
        <v>1</v>
      </c>
      <c r="F71" s="6">
        <v>0.3</v>
      </c>
      <c r="I71" s="6" t="s">
        <v>256</v>
      </c>
      <c r="N71" s="6" t="s">
        <v>125</v>
      </c>
    </row>
    <row r="72" spans="1:14" s="6" customFormat="1">
      <c r="A72" s="6" t="s">
        <v>209</v>
      </c>
      <c r="B72" s="12" t="s">
        <v>265</v>
      </c>
      <c r="D72" s="6" t="s">
        <v>120</v>
      </c>
      <c r="E72" s="6">
        <v>20</v>
      </c>
      <c r="F72" s="6">
        <v>5</v>
      </c>
      <c r="G72" s="6">
        <f>ROUND((E72/10)*(100/20),0)</f>
        <v>10</v>
      </c>
      <c r="I72" s="6" t="s">
        <v>268</v>
      </c>
      <c r="N72" s="6" t="s">
        <v>126</v>
      </c>
    </row>
    <row r="73" spans="1:14" s="6" customFormat="1">
      <c r="A73" s="6" t="s">
        <v>210</v>
      </c>
      <c r="B73" s="12" t="s">
        <v>242</v>
      </c>
      <c r="D73" s="6" t="s">
        <v>120</v>
      </c>
      <c r="E73" s="6">
        <v>50</v>
      </c>
      <c r="F73" s="6">
        <v>5</v>
      </c>
      <c r="G73" s="6">
        <f>ROUND((E73/10)*(100/20),0)</f>
        <v>25</v>
      </c>
      <c r="I73" s="6" t="s">
        <v>244</v>
      </c>
      <c r="N73" s="6" t="s">
        <v>127</v>
      </c>
    </row>
    <row r="74" spans="1:14" s="6" customFormat="1">
      <c r="A74" s="6" t="s">
        <v>211</v>
      </c>
      <c r="B74" s="12" t="s">
        <v>243</v>
      </c>
      <c r="D74" s="6" t="s">
        <v>124</v>
      </c>
      <c r="E74" s="6">
        <v>110</v>
      </c>
      <c r="F74" s="6">
        <v>5</v>
      </c>
      <c r="G74" s="6">
        <f>ROUND((E74/10)*(100/20),0)</f>
        <v>55</v>
      </c>
      <c r="I74" s="6" t="s">
        <v>270</v>
      </c>
      <c r="M74" s="6" t="s">
        <v>115</v>
      </c>
      <c r="N74" s="6" t="s">
        <v>128</v>
      </c>
    </row>
    <row r="75" spans="1:14" s="6" customFormat="1">
      <c r="B75" s="12"/>
    </row>
    <row r="76" spans="1:14">
      <c r="B76" s="7" t="s">
        <v>273</v>
      </c>
    </row>
    <row r="77" spans="1:14" s="6" customFormat="1">
      <c r="A77" s="6" t="s">
        <v>277</v>
      </c>
      <c r="B77" s="12" t="s">
        <v>101</v>
      </c>
      <c r="D77" s="6" t="s">
        <v>122</v>
      </c>
      <c r="E77" s="6">
        <v>1</v>
      </c>
      <c r="F77" s="6">
        <v>0.3</v>
      </c>
      <c r="I77" s="6" t="s">
        <v>256</v>
      </c>
      <c r="N77" s="6" t="s">
        <v>125</v>
      </c>
    </row>
    <row r="78" spans="1:14" s="6" customFormat="1">
      <c r="A78" s="6" t="s">
        <v>278</v>
      </c>
      <c r="B78" s="12" t="s">
        <v>281</v>
      </c>
      <c r="D78" s="6" t="s">
        <v>120</v>
      </c>
      <c r="E78" s="6">
        <v>50</v>
      </c>
      <c r="F78" s="6">
        <v>5</v>
      </c>
      <c r="G78" s="6">
        <f>ROUND((E78/10)*(100/20),0)</f>
        <v>25</v>
      </c>
      <c r="I78" s="6" t="s">
        <v>246</v>
      </c>
      <c r="N78" s="6" t="s">
        <v>126</v>
      </c>
    </row>
    <row r="79" spans="1:14" s="6" customFormat="1">
      <c r="A79" s="6" t="s">
        <v>279</v>
      </c>
      <c r="B79" s="12" t="s">
        <v>282</v>
      </c>
      <c r="D79" s="6" t="s">
        <v>120</v>
      </c>
      <c r="E79" s="6">
        <v>40</v>
      </c>
      <c r="F79" s="6">
        <v>5</v>
      </c>
      <c r="G79" s="6">
        <f>ROUND((E79/10)*(100/20),0)</f>
        <v>20</v>
      </c>
      <c r="I79" s="6" t="s">
        <v>246</v>
      </c>
      <c r="N79" s="6" t="s">
        <v>127</v>
      </c>
    </row>
    <row r="80" spans="1:14" s="6" customFormat="1">
      <c r="A80" s="6" t="s">
        <v>280</v>
      </c>
      <c r="B80" s="12" t="s">
        <v>283</v>
      </c>
      <c r="D80" s="6" t="s">
        <v>124</v>
      </c>
      <c r="E80" s="6">
        <v>70</v>
      </c>
      <c r="F80" s="6">
        <v>5</v>
      </c>
      <c r="G80" s="6">
        <f>ROUND((E80/10)*(100/20),0)</f>
        <v>35</v>
      </c>
      <c r="I80" s="6" t="s">
        <v>256</v>
      </c>
      <c r="M80" s="6" t="s">
        <v>115</v>
      </c>
      <c r="N80" s="6" t="s">
        <v>128</v>
      </c>
    </row>
    <row r="81" spans="1:14" s="6" customFormat="1">
      <c r="B81" s="12"/>
    </row>
    <row r="82" spans="1:14">
      <c r="B82" s="7" t="s">
        <v>285</v>
      </c>
    </row>
    <row r="83" spans="1:14" s="6" customFormat="1">
      <c r="A83" s="6" t="s">
        <v>292</v>
      </c>
      <c r="B83" s="12" t="s">
        <v>101</v>
      </c>
      <c r="D83" s="6" t="s">
        <v>122</v>
      </c>
      <c r="E83" s="6">
        <v>1</v>
      </c>
      <c r="F83" s="6">
        <v>0.3</v>
      </c>
      <c r="I83" s="6" t="s">
        <v>256</v>
      </c>
      <c r="N83" s="6" t="s">
        <v>125</v>
      </c>
    </row>
    <row r="84" spans="1:14" s="6" customFormat="1">
      <c r="A84" s="6" t="s">
        <v>293</v>
      </c>
      <c r="B84" s="12" t="s">
        <v>286</v>
      </c>
      <c r="D84" s="6" t="s">
        <v>120</v>
      </c>
      <c r="E84" s="6">
        <v>40</v>
      </c>
      <c r="F84" s="6">
        <v>5</v>
      </c>
      <c r="G84" s="6">
        <f>ROUND((E84/10)*(100/20),0)</f>
        <v>20</v>
      </c>
      <c r="I84" s="6" t="s">
        <v>244</v>
      </c>
      <c r="N84" s="6" t="s">
        <v>126</v>
      </c>
    </row>
    <row r="85" spans="1:14" s="6" customFormat="1">
      <c r="A85" s="6" t="s">
        <v>294</v>
      </c>
      <c r="B85" s="12" t="s">
        <v>287</v>
      </c>
      <c r="D85" s="6" t="s">
        <v>120</v>
      </c>
      <c r="E85" s="6">
        <v>50</v>
      </c>
      <c r="F85" s="6">
        <v>5</v>
      </c>
      <c r="G85" s="6">
        <f>ROUND((E85/10)*(100/20),0)</f>
        <v>25</v>
      </c>
      <c r="I85" s="6" t="s">
        <v>246</v>
      </c>
      <c r="N85" s="6" t="s">
        <v>127</v>
      </c>
    </row>
    <row r="86" spans="1:14" s="6" customFormat="1">
      <c r="A86" s="6" t="s">
        <v>295</v>
      </c>
      <c r="B86" s="12" t="s">
        <v>288</v>
      </c>
      <c r="D86" s="6" t="s">
        <v>124</v>
      </c>
      <c r="E86" s="6">
        <v>100</v>
      </c>
      <c r="F86" s="6">
        <v>5</v>
      </c>
      <c r="G86" s="6">
        <f>ROUND((E86/10)*(100/20),0)</f>
        <v>50</v>
      </c>
      <c r="I86" s="6" t="s">
        <v>246</v>
      </c>
      <c r="M86" s="6" t="s">
        <v>115</v>
      </c>
      <c r="N86" s="6" t="s">
        <v>128</v>
      </c>
    </row>
    <row r="87" spans="1:14" s="6" customFormat="1">
      <c r="B87" s="12"/>
    </row>
    <row r="88" spans="1:14">
      <c r="B88" s="7" t="s">
        <v>289</v>
      </c>
    </row>
    <row r="89" spans="1:14" s="6" customFormat="1">
      <c r="A89" s="6" t="s">
        <v>296</v>
      </c>
      <c r="B89" s="12" t="s">
        <v>101</v>
      </c>
      <c r="D89" s="6" t="s">
        <v>122</v>
      </c>
      <c r="E89" s="6">
        <v>1</v>
      </c>
      <c r="F89" s="6">
        <v>0.3</v>
      </c>
      <c r="H89" s="6">
        <v>1</v>
      </c>
      <c r="I89" s="6" t="s">
        <v>256</v>
      </c>
      <c r="N89" s="6" t="s">
        <v>125</v>
      </c>
    </row>
    <row r="90" spans="1:14" s="6" customFormat="1">
      <c r="A90" s="6" t="s">
        <v>297</v>
      </c>
      <c r="B90" s="12" t="s">
        <v>300</v>
      </c>
      <c r="D90" s="6" t="s">
        <v>120</v>
      </c>
      <c r="E90" s="6">
        <v>30</v>
      </c>
      <c r="F90" s="6">
        <v>5</v>
      </c>
      <c r="G90" s="6">
        <f>ROUND((E90/10)*(100/20),0)</f>
        <v>15</v>
      </c>
      <c r="I90" s="6" t="s">
        <v>256</v>
      </c>
      <c r="K90" s="6" t="s">
        <v>261</v>
      </c>
      <c r="L90" s="6">
        <v>2</v>
      </c>
      <c r="N90" s="6" t="s">
        <v>126</v>
      </c>
    </row>
    <row r="91" spans="1:14" s="6" customFormat="1">
      <c r="A91" s="6" t="s">
        <v>298</v>
      </c>
      <c r="B91" s="12" t="s">
        <v>301</v>
      </c>
      <c r="D91" s="6" t="s">
        <v>120</v>
      </c>
      <c r="E91" s="6">
        <v>50</v>
      </c>
      <c r="F91" s="6">
        <v>5</v>
      </c>
      <c r="G91" s="6">
        <f>ROUND((E91/10)*(100/20),0)</f>
        <v>25</v>
      </c>
      <c r="I91" s="6" t="s">
        <v>246</v>
      </c>
      <c r="N91" s="6" t="s">
        <v>127</v>
      </c>
    </row>
    <row r="92" spans="1:14" s="6" customFormat="1">
      <c r="A92" s="6" t="s">
        <v>299</v>
      </c>
      <c r="B92" s="12" t="s">
        <v>302</v>
      </c>
      <c r="D92" s="6" t="s">
        <v>124</v>
      </c>
      <c r="E92" s="6">
        <v>120</v>
      </c>
      <c r="F92" s="6">
        <v>5</v>
      </c>
      <c r="G92" s="6">
        <f>ROUND((E92/10)*(100/20),0)</f>
        <v>60</v>
      </c>
      <c r="I92" s="6" t="s">
        <v>313</v>
      </c>
      <c r="M92" s="6" t="s">
        <v>115</v>
      </c>
      <c r="N92" s="6" t="s">
        <v>128</v>
      </c>
    </row>
    <row r="94" spans="1:14">
      <c r="B94" s="7" t="s">
        <v>304</v>
      </c>
    </row>
    <row r="95" spans="1:14" s="6" customFormat="1">
      <c r="A95" s="6" t="s">
        <v>306</v>
      </c>
      <c r="B95" s="12" t="s">
        <v>101</v>
      </c>
      <c r="D95" s="6" t="s">
        <v>122</v>
      </c>
      <c r="E95" s="6">
        <v>1</v>
      </c>
      <c r="F95" s="6">
        <v>0.3</v>
      </c>
      <c r="H95" s="6">
        <v>1</v>
      </c>
      <c r="I95" s="6" t="s">
        <v>256</v>
      </c>
      <c r="N95" s="6" t="s">
        <v>125</v>
      </c>
    </row>
    <row r="96" spans="1:14" s="6" customFormat="1">
      <c r="A96" s="6" t="s">
        <v>307</v>
      </c>
      <c r="B96" s="12" t="s">
        <v>310</v>
      </c>
      <c r="D96" s="6" t="s">
        <v>120</v>
      </c>
      <c r="E96" s="6">
        <v>50</v>
      </c>
      <c r="F96" s="6">
        <v>5</v>
      </c>
      <c r="G96" s="6">
        <f>ROUND((E96/10)*(100/20),0)</f>
        <v>25</v>
      </c>
      <c r="I96" s="6" t="s">
        <v>244</v>
      </c>
      <c r="N96" s="6" t="s">
        <v>126</v>
      </c>
    </row>
    <row r="97" spans="1:14" s="6" customFormat="1">
      <c r="A97" s="6" t="s">
        <v>308</v>
      </c>
      <c r="B97" s="12" t="s">
        <v>311</v>
      </c>
      <c r="D97" s="6" t="s">
        <v>120</v>
      </c>
      <c r="E97" s="6">
        <v>20</v>
      </c>
      <c r="F97" s="6">
        <v>5</v>
      </c>
      <c r="G97" s="6">
        <f>ROUND((E97/10)*(100/20),0)</f>
        <v>10</v>
      </c>
      <c r="I97" s="6" t="s">
        <v>256</v>
      </c>
      <c r="N97" s="6" t="s">
        <v>127</v>
      </c>
    </row>
    <row r="98" spans="1:14" s="6" customFormat="1">
      <c r="A98" s="6" t="s">
        <v>309</v>
      </c>
      <c r="B98" s="12" t="s">
        <v>312</v>
      </c>
      <c r="D98" s="6" t="s">
        <v>124</v>
      </c>
      <c r="E98" s="6">
        <v>110</v>
      </c>
      <c r="F98" s="6">
        <v>5</v>
      </c>
      <c r="G98" s="6">
        <f>ROUND((E98/10)*(100/20),0)</f>
        <v>55</v>
      </c>
      <c r="I98" s="6" t="s">
        <v>303</v>
      </c>
      <c r="M98" s="6" t="s">
        <v>115</v>
      </c>
      <c r="N98" s="6" t="s">
        <v>128</v>
      </c>
    </row>
    <row r="100" spans="1:14">
      <c r="B100" s="7" t="s">
        <v>318</v>
      </c>
    </row>
    <row r="101" spans="1:14" s="6" customFormat="1">
      <c r="A101" s="6" t="s">
        <v>314</v>
      </c>
      <c r="B101" s="12" t="s">
        <v>101</v>
      </c>
      <c r="D101" s="6" t="s">
        <v>122</v>
      </c>
      <c r="E101" s="6">
        <v>1</v>
      </c>
      <c r="F101" s="6">
        <v>0.3</v>
      </c>
      <c r="H101" s="6">
        <v>1</v>
      </c>
      <c r="I101" s="6" t="s">
        <v>256</v>
      </c>
      <c r="N101" s="6" t="s">
        <v>125</v>
      </c>
    </row>
    <row r="102" spans="1:14" s="6" customFormat="1">
      <c r="A102" s="6" t="s">
        <v>315</v>
      </c>
      <c r="B102" s="12" t="s">
        <v>320</v>
      </c>
      <c r="D102" s="6" t="s">
        <v>120</v>
      </c>
      <c r="E102" s="6">
        <v>50</v>
      </c>
      <c r="F102" s="6">
        <v>5</v>
      </c>
      <c r="G102" s="6">
        <f>ROUND((E102/10)*(100/20),0)</f>
        <v>25</v>
      </c>
      <c r="I102" s="6" t="s">
        <v>246</v>
      </c>
      <c r="N102" s="6" t="s">
        <v>126</v>
      </c>
    </row>
    <row r="103" spans="1:14" s="6" customFormat="1">
      <c r="A103" s="6" t="s">
        <v>316</v>
      </c>
      <c r="B103" s="12" t="s">
        <v>321</v>
      </c>
      <c r="D103" s="6" t="s">
        <v>120</v>
      </c>
      <c r="E103" s="6">
        <v>40</v>
      </c>
      <c r="F103" s="6">
        <v>5</v>
      </c>
      <c r="G103" s="6">
        <f>ROUND((E103/10)*(100/20),0)</f>
        <v>20</v>
      </c>
      <c r="I103" s="6" t="s">
        <v>256</v>
      </c>
      <c r="K103" s="6" t="s">
        <v>261</v>
      </c>
      <c r="L103" s="6">
        <v>3</v>
      </c>
      <c r="N103" s="6" t="s">
        <v>127</v>
      </c>
    </row>
    <row r="104" spans="1:14" s="6" customFormat="1">
      <c r="A104" s="6" t="s">
        <v>317</v>
      </c>
      <c r="B104" s="12" t="s">
        <v>322</v>
      </c>
      <c r="D104" s="6" t="s">
        <v>124</v>
      </c>
      <c r="E104" s="6">
        <v>100</v>
      </c>
      <c r="F104" s="6">
        <v>5</v>
      </c>
      <c r="G104" s="6">
        <f>ROUND((E104/10)*(100/20),0)</f>
        <v>50</v>
      </c>
      <c r="I104" s="6" t="s">
        <v>246</v>
      </c>
      <c r="M104" s="6" t="s">
        <v>115</v>
      </c>
      <c r="N104" s="6" t="s">
        <v>128</v>
      </c>
    </row>
    <row r="106" spans="1:14">
      <c r="B106" s="7" t="s">
        <v>323</v>
      </c>
    </row>
    <row r="107" spans="1:14" s="6" customFormat="1">
      <c r="A107" s="6" t="s">
        <v>333</v>
      </c>
      <c r="B107" s="12" t="s">
        <v>101</v>
      </c>
      <c r="D107" s="6" t="s">
        <v>122</v>
      </c>
      <c r="E107" s="6">
        <v>1</v>
      </c>
      <c r="F107" s="6">
        <v>0.3</v>
      </c>
      <c r="H107" s="6">
        <v>1</v>
      </c>
      <c r="I107" s="6" t="s">
        <v>256</v>
      </c>
      <c r="N107" s="6" t="s">
        <v>125</v>
      </c>
    </row>
    <row r="108" spans="1:14" s="6" customFormat="1">
      <c r="A108" s="6" t="s">
        <v>334</v>
      </c>
      <c r="B108" s="12" t="s">
        <v>324</v>
      </c>
      <c r="D108" s="6" t="s">
        <v>120</v>
      </c>
      <c r="E108" s="6">
        <v>30</v>
      </c>
      <c r="F108" s="6">
        <v>5</v>
      </c>
      <c r="G108" s="6">
        <f>ROUND((E108/10)*(100/20),0)</f>
        <v>15</v>
      </c>
      <c r="I108" s="6" t="s">
        <v>268</v>
      </c>
      <c r="N108" s="6" t="s">
        <v>126</v>
      </c>
    </row>
    <row r="109" spans="1:14" s="6" customFormat="1">
      <c r="A109" s="6" t="s">
        <v>335</v>
      </c>
      <c r="B109" s="12" t="s">
        <v>325</v>
      </c>
      <c r="D109" s="6" t="s">
        <v>120</v>
      </c>
      <c r="E109" s="6">
        <v>40</v>
      </c>
      <c r="F109" s="6">
        <v>5</v>
      </c>
      <c r="G109" s="6">
        <f>ROUND((E109/10)*(100/20),0)</f>
        <v>20</v>
      </c>
      <c r="I109" s="6" t="s">
        <v>244</v>
      </c>
      <c r="N109" s="6" t="s">
        <v>127</v>
      </c>
    </row>
    <row r="110" spans="1:14" s="6" customFormat="1">
      <c r="A110" s="6" t="s">
        <v>336</v>
      </c>
      <c r="B110" s="12" t="s">
        <v>326</v>
      </c>
      <c r="D110" s="6" t="s">
        <v>124</v>
      </c>
      <c r="E110" s="6">
        <v>90</v>
      </c>
      <c r="F110" s="6">
        <v>5</v>
      </c>
      <c r="G110" s="6">
        <f>ROUND((E110/10)*(100/20),0)</f>
        <v>45</v>
      </c>
      <c r="I110" s="6" t="s">
        <v>246</v>
      </c>
      <c r="M110" s="6" t="s">
        <v>115</v>
      </c>
      <c r="N110" s="6" t="s">
        <v>128</v>
      </c>
    </row>
    <row r="112" spans="1:14">
      <c r="B112" s="7" t="s">
        <v>328</v>
      </c>
    </row>
    <row r="113" spans="1:14" s="6" customFormat="1">
      <c r="A113" s="6" t="s">
        <v>337</v>
      </c>
      <c r="B113" s="12" t="s">
        <v>101</v>
      </c>
      <c r="D113" s="6" t="s">
        <v>122</v>
      </c>
      <c r="E113" s="6">
        <v>1</v>
      </c>
      <c r="F113" s="6">
        <v>0.3</v>
      </c>
      <c r="H113" s="6">
        <v>1</v>
      </c>
      <c r="I113" s="6" t="s">
        <v>256</v>
      </c>
      <c r="N113" s="6" t="s">
        <v>125</v>
      </c>
    </row>
    <row r="114" spans="1:14" s="6" customFormat="1">
      <c r="A114" s="6" t="s">
        <v>338</v>
      </c>
      <c r="B114" s="12" t="s">
        <v>327</v>
      </c>
      <c r="D114" s="6" t="s">
        <v>120</v>
      </c>
      <c r="E114" s="6">
        <v>30</v>
      </c>
      <c r="F114" s="6">
        <v>5</v>
      </c>
      <c r="G114" s="6">
        <f>ROUND((E114/10)*(100/20),0)</f>
        <v>15</v>
      </c>
      <c r="I114" s="6" t="s">
        <v>247</v>
      </c>
      <c r="N114" s="6" t="s">
        <v>126</v>
      </c>
    </row>
    <row r="115" spans="1:14" s="6" customFormat="1">
      <c r="A115" s="6" t="s">
        <v>339</v>
      </c>
      <c r="B115" s="12" t="s">
        <v>331</v>
      </c>
      <c r="D115" s="6" t="s">
        <v>120</v>
      </c>
      <c r="E115" s="6">
        <v>50</v>
      </c>
      <c r="F115" s="6">
        <v>5</v>
      </c>
      <c r="G115" s="6">
        <f>ROUND((E115/10)*(100/20),0)</f>
        <v>25</v>
      </c>
      <c r="I115" s="6" t="s">
        <v>244</v>
      </c>
      <c r="N115" s="6" t="s">
        <v>127</v>
      </c>
    </row>
    <row r="116" spans="1:14" s="6" customFormat="1">
      <c r="A116" s="6" t="s">
        <v>340</v>
      </c>
      <c r="B116" s="12" t="s">
        <v>332</v>
      </c>
      <c r="D116" s="6" t="s">
        <v>124</v>
      </c>
      <c r="E116" s="6">
        <v>80</v>
      </c>
      <c r="F116" s="6">
        <v>5</v>
      </c>
      <c r="G116" s="6">
        <f>ROUND((E116/10)*(100/20),0)</f>
        <v>40</v>
      </c>
      <c r="I116" s="6" t="s">
        <v>244</v>
      </c>
      <c r="M116" s="6" t="s">
        <v>115</v>
      </c>
      <c r="N116" s="6" t="s">
        <v>128</v>
      </c>
    </row>
    <row r="118" spans="1:14">
      <c r="B118" s="7" t="s">
        <v>342</v>
      </c>
    </row>
    <row r="119" spans="1:14" s="6" customFormat="1">
      <c r="A119" s="6" t="s">
        <v>345</v>
      </c>
      <c r="B119" s="12" t="s">
        <v>101</v>
      </c>
      <c r="D119" s="6" t="s">
        <v>122</v>
      </c>
      <c r="E119" s="6">
        <v>1</v>
      </c>
      <c r="F119" s="6">
        <v>0.3</v>
      </c>
      <c r="H119" s="6">
        <v>1</v>
      </c>
      <c r="I119" s="6" t="s">
        <v>256</v>
      </c>
      <c r="N119" s="6" t="s">
        <v>125</v>
      </c>
    </row>
    <row r="120" spans="1:14" s="6" customFormat="1">
      <c r="A120" s="6" t="s">
        <v>346</v>
      </c>
      <c r="B120" s="12" t="s">
        <v>341</v>
      </c>
      <c r="D120" s="6" t="s">
        <v>120</v>
      </c>
      <c r="E120" s="6">
        <v>30</v>
      </c>
      <c r="F120" s="6">
        <v>5</v>
      </c>
      <c r="G120" s="6">
        <f>ROUND((E120/10)*(100/20),0)</f>
        <v>15</v>
      </c>
      <c r="I120" s="6" t="s">
        <v>256</v>
      </c>
      <c r="K120" s="6" t="s">
        <v>261</v>
      </c>
      <c r="L120" s="6">
        <v>3</v>
      </c>
      <c r="N120" s="6" t="s">
        <v>126</v>
      </c>
    </row>
    <row r="121" spans="1:14" s="6" customFormat="1">
      <c r="A121" s="6" t="s">
        <v>347</v>
      </c>
      <c r="B121" s="12" t="s">
        <v>349</v>
      </c>
      <c r="D121" s="6" t="s">
        <v>120</v>
      </c>
      <c r="E121" s="6">
        <v>40</v>
      </c>
      <c r="F121" s="6">
        <v>5</v>
      </c>
      <c r="G121" s="6">
        <f>ROUND((E121/10)*(100/20),0)</f>
        <v>20</v>
      </c>
      <c r="I121" s="6" t="s">
        <v>244</v>
      </c>
      <c r="N121" s="6" t="s">
        <v>127</v>
      </c>
    </row>
    <row r="122" spans="1:14" s="6" customFormat="1">
      <c r="A122" s="6" t="s">
        <v>348</v>
      </c>
      <c r="B122" s="12" t="s">
        <v>350</v>
      </c>
      <c r="D122" s="6" t="s">
        <v>124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 t="s">
        <v>276</v>
      </c>
      <c r="M122" s="6" t="s">
        <v>115</v>
      </c>
      <c r="N122" s="6" t="s">
        <v>128</v>
      </c>
    </row>
    <row r="125" spans="1:14">
      <c r="A125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B13" sqref="B13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271</v>
      </c>
    </row>
    <row r="2" spans="1:4" s="7" customFormat="1">
      <c r="A2" s="7" t="s">
        <v>80</v>
      </c>
      <c r="B2" s="7" t="s">
        <v>272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6" sqref="B6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351</v>
      </c>
    </row>
    <row r="2" spans="1:4">
      <c r="A2" s="2"/>
    </row>
    <row r="6" spans="1:4">
      <c r="A6" s="2"/>
    </row>
    <row r="9" spans="1:4" ht="16.5">
      <c r="A9" s="3" t="s">
        <v>129</v>
      </c>
      <c r="B9" s="3" t="s">
        <v>76</v>
      </c>
      <c r="C9" s="3" t="s">
        <v>118</v>
      </c>
      <c r="D9" s="3" t="s">
        <v>76</v>
      </c>
    </row>
    <row r="10" spans="1:4">
      <c r="A10" t="s">
        <v>95</v>
      </c>
      <c r="B10" s="9" t="s">
        <v>98</v>
      </c>
      <c r="C10" t="s">
        <v>121</v>
      </c>
      <c r="D10" s="9" t="s">
        <v>101</v>
      </c>
    </row>
    <row r="11" spans="1:4">
      <c r="A11" t="s">
        <v>96</v>
      </c>
      <c r="B11" s="9" t="s">
        <v>99</v>
      </c>
      <c r="C11" t="s">
        <v>119</v>
      </c>
      <c r="D11" s="9" t="s">
        <v>130</v>
      </c>
    </row>
    <row r="12" spans="1:4">
      <c r="A12" t="s">
        <v>97</v>
      </c>
      <c r="B12" t="s">
        <v>100</v>
      </c>
      <c r="C12" t="s">
        <v>123</v>
      </c>
      <c r="D12" t="s">
        <v>131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Hero</vt:lpstr>
      <vt:lpstr>HeroSkill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2023-07-31T06:24:37Z</dcterms:modified>
</cp:coreProperties>
</file>