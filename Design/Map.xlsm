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7FE8DAF1-985D-42DC-A7F4-261E553F5E78}" xr6:coauthVersionLast="47" xr6:coauthVersionMax="47" xr10:uidLastSave="{00000000-0000-0000-0000-000000000000}"/>
  <bookViews>
    <workbookView xWindow="6450" yWindow="2715" windowWidth="21600" windowHeight="12765" activeTab="1" xr2:uid="{00000000-000D-0000-FFFF-FFFF00000000}"/>
  </bookViews>
  <sheets>
    <sheet name="Map" sheetId="1" r:id="rId1"/>
    <sheet name="MonsterSpawner" sheetId="10" r:id="rId2"/>
    <sheet name="Monster" sheetId="8" r:id="rId3"/>
    <sheet name="Drop" sheetId="9" r:id="rId4"/>
    <sheet name="BuffSkill" sheetId="11" r:id="rId5"/>
    <sheet name="Info" sheetId="6" r:id="rId6"/>
    <sheet name="Setting" sheetId="7" r:id="rId7"/>
  </sheets>
  <functionGroups builtInGroupCount="19"/>
  <definedNames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8" l="1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5" i="8"/>
  <c r="G48" i="8"/>
  <c r="G47" i="8"/>
  <c r="G46" i="8"/>
  <c r="G45" i="8"/>
  <c r="G44" i="8"/>
  <c r="G43" i="8"/>
  <c r="G42" i="8"/>
  <c r="G41" i="8"/>
  <c r="D48" i="8"/>
  <c r="D47" i="8"/>
  <c r="D46" i="8"/>
  <c r="D45" i="8"/>
  <c r="D54" i="8"/>
  <c r="D53" i="8"/>
  <c r="D6" i="9"/>
  <c r="D7" i="9"/>
  <c r="D8" i="9"/>
  <c r="D9" i="9"/>
  <c r="D10" i="9"/>
  <c r="D11" i="9"/>
  <c r="D12" i="9"/>
  <c r="D13" i="9"/>
  <c r="D14" i="9"/>
  <c r="D15" i="9"/>
  <c r="D16" i="9"/>
  <c r="D17" i="9"/>
  <c r="D5" i="9"/>
  <c r="D44" i="8"/>
  <c r="D43" i="8"/>
  <c r="D42" i="8"/>
  <c r="D41" i="8"/>
  <c r="D5" i="8"/>
</calcChain>
</file>

<file path=xl/sharedStrings.xml><?xml version="1.0" encoding="utf-8"?>
<sst xmlns="http://schemas.openxmlformats.org/spreadsheetml/2006/main" count="534" uniqueCount="289">
  <si>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</si>
  <si>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</si>
  <si>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</si>
  <si>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</si>
  <si>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</si>
  <si>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</si>
  <si>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</si>
  <si>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</si>
  <si>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</si>
  <si>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</si>
  <si>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</si>
  <si>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</si>
  <si>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</si>
  <si>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</si>
  <si>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</si>
  <si>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</si>
  <si>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</si>
  <si>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</si>
  <si>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</si>
  <si>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</si>
  <si>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</si>
  <si>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</si>
  <si>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</si>
  <si>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</si>
  <si>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</si>
  <si>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</si>
  <si>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</si>
  <si>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</si>
  <si>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</si>
  <si>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</si>
  <si>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</si>
  <si>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</si>
  <si>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</si>
  <si>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</si>
  <si>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</si>
  <si>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</si>
  <si>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</si>
  <si>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</si>
  <si>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</si>
  <si>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</si>
  <si>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</si>
  <si>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</si>
  <si>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</si>
  <si>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</si>
  <si>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</si>
  <si>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</si>
  <si>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</si>
  <si>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</si>
  <si>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</si>
  <si>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</si>
  <si>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</si>
  <si>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</si>
  <si>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</si>
  <si>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</si>
  <si>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</si>
  <si>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</si>
  <si>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</si>
  <si>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</si>
  <si>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</si>
  <si>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</si>
  <si>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</si>
  <si>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</si>
  <si>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</si>
  <si>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</si>
  <si>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</si>
  <si>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</si>
  <si>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</si>
  <si>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</si>
  <si>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</si>
  <si>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</si>
  <si>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</si>
  <si>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</si>
  <si>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</si>
  <si>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</si>
  <si>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</si>
  <si>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</si>
  <si>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</si>
  <si>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</si>
  <si>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</si>
  <si>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</si>
  <si>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</si>
  <si>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</si>
  <si>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</si>
  <si>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</si>
  <si>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\HeroFishing\Assets\AddressableAssets\Json\</t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</si>
  <si>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</si>
  <si>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</si>
  <si>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</si>
  <si>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</si>
  <si>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</si>
  <si>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</si>
  <si>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</si>
  <si>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</si>
  <si>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</si>
  <si>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</si>
  <si>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</si>
  <si>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</si>
  <si>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</si>
  <si>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</si>
  <si>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</si>
  <si>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</si>
  <si>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</si>
  <si>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</si>
  <si>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</si>
  <si>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</si>
  <si>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</si>
  <si>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</si>
  <si>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</si>
  <si>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</si>
  <si>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</si>
  <si>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</si>
  <si>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</si>
  <si>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</si>
  <si>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</si>
  <si>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</si>
  <si>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藍魔像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</si>
  <si>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</si>
  <si>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</si>
  <si>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</si>
  <si>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</si>
  <si>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</si>
  <si>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</si>
  <si>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</si>
  <si>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</si>
  <si>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</si>
  <si>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</si>
  <si>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</si>
  <si>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</si>
  <si>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</si>
  <si>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</si>
  <si>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</si>
  <si>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</si>
  <si>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</si>
  <si>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</si>
  <si>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</si>
  <si>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</si>
  <si>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</si>
  <si>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</si>
  <si>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</si>
  <si>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</si>
  <si>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</si>
  <si>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</si>
  <si>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</si>
  <si>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</si>
  <si>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</si>
  <si>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</si>
  <si>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All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</si>
  <si>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</si>
  <si>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</si>
  <si>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</si>
  <si>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</si>
  <si>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</si>
  <si>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</si>
  <si>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</si>
  <si>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</si>
  <si>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</si>
  <si>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</si>
  <si>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</si>
  <si>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</si>
  <si>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</si>
  <si>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</si>
  <si>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</si>
  <si>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</si>
  <si>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</si>
  <si>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</si>
  <si>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</si>
  <si>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</si>
  <si>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</si>
  <si>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</si>
  <si>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</si>
  <si>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</si>
  <si>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</si>
  <si>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</si>
  <si>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</si>
  <si>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</si>
  <si>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</si>
  <si>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</si>
  <si>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</si>
  <si>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</si>
  <si>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</si>
  <si>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</si>
  <si>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</si>
  <si>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</si>
  <si>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</si>
  <si>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</si>
  <si>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</si>
  <si>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</si>
  <si>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</si>
  <si>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</si>
  <si>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</si>
  <si>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</si>
  <si>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</si>
  <si>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</si>
  <si>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</si>
  <si>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</si>
  <si>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</si>
  <si>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</si>
  <si>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</si>
  <si>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</si>
  <si>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</si>
  <si>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</si>
  <si>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</si>
  <si>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</si>
  <si>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</si>
  <si>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</si>
  <si>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</si>
  <si>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</si>
  <si>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</si>
  <si>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</si>
  <si>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</si>
  <si>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</si>
  <si>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</si>
  <si>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</si>
  <si>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</si>
  <si>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</si>
  <si>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</si>
  <si>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</si>
  <si>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</si>
  <si>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</si>
  <si>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</si>
  <si>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</si>
  <si>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</si>
  <si>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</si>
  <si>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</si>
  <si>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</si>
  <si>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</si>
  <si>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</si>
  <si>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</si>
  <si>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</si>
  <si>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</si>
  <si>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</si>
  <si>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</si>
  <si>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</si>
  <si>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</si>
  <si>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</si>
  <si>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</si>
  <si>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</si>
  <si>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</si>
  <si>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</si>
  <si>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魔沼蛙,峽谷迅捷蟹,紅樹怪,藍魔像,薩特竊神者,薩特苦難使者,黑暗巨魔召喚法師</t>
    <phoneticPr fontId="1" type="noConversion"/>
  </si>
  <si>
    <t>25,26,27,28,29,30,32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</si>
  <si>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</si>
  <si>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</si>
  <si>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</si>
  <si>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</si>
  <si>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</si>
  <si>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</si>
  <si>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</si>
  <si>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</si>
  <si>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</si>
  <si>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</si>
  <si>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</si>
  <si>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</si>
  <si>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</si>
  <si>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</si>
  <si>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混和</t>
    <phoneticPr fontId="1" type="noConversion"/>
  </si>
  <si>
    <t>1,1,1,1,1,4</t>
    <phoneticPr fontId="1" type="noConversion"/>
  </si>
  <si>
    <t>2,2,2,2,23</t>
    <phoneticPr fontId="1" type="noConversion"/>
  </si>
  <si>
    <t>3,3,24</t>
    <phoneticPr fontId="1" type="noConversion"/>
  </si>
  <si>
    <t>單獨隨機出怪</t>
    <phoneticPr fontId="1" type="noConversion"/>
  </si>
  <si>
    <t>10~20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</si>
  <si>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</si>
  <si>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</si>
  <si>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</si>
  <si>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</si>
  <si>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</si>
  <si>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</si>
  <si>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</si>
  <si>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</si>
  <si>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</si>
  <si>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</si>
  <si>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</si>
  <si>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</si>
  <si>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</si>
  <si>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</si>
  <si>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</si>
  <si>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</si>
  <si>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</si>
  <si>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</si>
  <si>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All</t>
  </si>
  <si>
    <t>Random</t>
  </si>
  <si>
    <t>Random</t>
    <phoneticPr fontId="1" type="noConversion"/>
  </si>
  <si>
    <t>頭目出怪</t>
    <phoneticPr fontId="1" type="noConversion"/>
  </si>
  <si>
    <t>全部出怪</t>
    <phoneticPr fontId="1" type="noConversion"/>
  </si>
  <si>
    <t>隨機出怪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</si>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</sst>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F17"/>
  <sheetViews>
    <sheetView workbookViewId="0">
      <selection activeCell="B10" sqref="B10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277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278</v>
      </c>
    </row>
    <row r="3" spans="1:6" s="6" customFormat="1">
      <c r="B3" s="12"/>
    </row>
    <row r="4" spans="1:6" s="6" customFormat="1">
      <c r="A4" s="6">
        <v>1</v>
      </c>
      <c r="B4" s="12" t="s">
        <v>97</v>
      </c>
      <c r="C4" s="6" t="s">
        <v>96</v>
      </c>
      <c r="D4" s="6" t="s">
        <v>105</v>
      </c>
      <c r="E4" s="6">
        <v>1</v>
      </c>
      <c r="F4" s="6">
        <v>1004</v>
      </c>
    </row>
    <row r="5" spans="1:6" s="6" customFormat="1">
      <c r="A5" s="6">
        <v>2</v>
      </c>
      <c r="B5" s="12" t="s">
        <v>147</v>
      </c>
      <c r="C5" s="6" t="s">
        <v>99</v>
      </c>
      <c r="D5" s="6" t="s">
        <v>105</v>
      </c>
      <c r="E5" s="6">
        <v>5</v>
      </c>
      <c r="F5" s="6">
        <v>1004</v>
      </c>
    </row>
    <row r="6" spans="1:6" s="6" customFormat="1">
      <c r="A6" s="6">
        <v>3</v>
      </c>
      <c r="B6" s="12" t="s">
        <v>101</v>
      </c>
      <c r="C6" s="6" t="s">
        <v>96</v>
      </c>
      <c r="D6" s="6" t="s">
        <v>105</v>
      </c>
      <c r="E6" s="6">
        <v>10</v>
      </c>
      <c r="F6" s="6">
        <v>1004</v>
      </c>
    </row>
    <row r="7" spans="1:6" s="6" customFormat="1">
      <c r="A7" s="6">
        <v>4</v>
      </c>
      <c r="B7" s="12" t="s">
        <v>148</v>
      </c>
      <c r="C7" s="6" t="s">
        <v>99</v>
      </c>
      <c r="D7" s="6" t="s">
        <v>105</v>
      </c>
      <c r="E7" s="6">
        <v>30</v>
      </c>
      <c r="F7" s="6">
        <v>1004</v>
      </c>
    </row>
    <row r="8" spans="1:6" s="6" customFormat="1">
      <c r="A8" s="6">
        <v>5</v>
      </c>
      <c r="B8" s="12" t="s">
        <v>149</v>
      </c>
      <c r="C8" s="6" t="s">
        <v>96</v>
      </c>
      <c r="D8" s="6" t="s">
        <v>105</v>
      </c>
      <c r="E8" s="6">
        <v>50</v>
      </c>
      <c r="F8" s="6">
        <v>1004</v>
      </c>
    </row>
    <row r="9" spans="1:6" s="6" customFormat="1">
      <c r="A9" s="6">
        <v>6</v>
      </c>
      <c r="B9" s="12" t="s">
        <v>150</v>
      </c>
      <c r="C9" s="6" t="s">
        <v>99</v>
      </c>
      <c r="D9" s="6" t="s">
        <v>105</v>
      </c>
      <c r="E9" s="6">
        <v>100</v>
      </c>
      <c r="F9" s="6">
        <v>1004</v>
      </c>
    </row>
    <row r="10" spans="1:6" s="6" customFormat="1">
      <c r="A10" s="6">
        <v>7</v>
      </c>
      <c r="B10" s="12" t="s">
        <v>103</v>
      </c>
      <c r="C10" s="6" t="s">
        <v>96</v>
      </c>
      <c r="D10" s="6" t="s">
        <v>105</v>
      </c>
      <c r="E10" s="6">
        <v>200</v>
      </c>
      <c r="F10" s="6">
        <v>1004</v>
      </c>
    </row>
    <row r="11" spans="1:6" s="6" customFormat="1">
      <c r="A11" s="6">
        <v>8</v>
      </c>
      <c r="B11" s="12" t="s">
        <v>151</v>
      </c>
      <c r="C11" s="6" t="s">
        <v>99</v>
      </c>
      <c r="D11" s="6" t="s">
        <v>105</v>
      </c>
      <c r="E11" s="6">
        <v>300</v>
      </c>
      <c r="F11" s="6">
        <v>1004</v>
      </c>
    </row>
    <row r="12" spans="1:6" s="6" customFormat="1">
      <c r="B12" s="12"/>
    </row>
    <row r="13" spans="1:6" s="6" customFormat="1">
      <c r="B13" s="12"/>
    </row>
    <row r="14" spans="1:6" s="6" customFormat="1"/>
    <row r="15" spans="1:6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1"/>
  <sheetViews>
    <sheetView tabSelected="1" topLeftCell="A10" workbookViewId="0">
      <selection activeCell="E26" sqref="E26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5" width="16.7109375" customWidth="1"/>
    <col min="6" max="6" width="28.42578125" customWidth="1"/>
    <col min="7" max="7" width="11.7109375" customWidth="1"/>
    <col min="8" max="8" width="12.2851562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107</v>
      </c>
      <c r="E1" s="7" t="s">
        <v>145</v>
      </c>
      <c r="F1" s="7" t="s">
        <v>285</v>
      </c>
      <c r="G1" s="7" t="s">
        <v>273</v>
      </c>
      <c r="H1" s="7" t="s">
        <v>276</v>
      </c>
    </row>
    <row r="2" spans="1:9" s="7" customFormat="1">
      <c r="A2" s="7" t="s">
        <v>80</v>
      </c>
      <c r="B2" s="7" t="s">
        <v>88</v>
      </c>
      <c r="C2" s="7" t="s">
        <v>89</v>
      </c>
      <c r="D2" s="7" t="s">
        <v>106</v>
      </c>
      <c r="E2" s="7" t="s">
        <v>144</v>
      </c>
      <c r="F2" s="7" t="s">
        <v>143</v>
      </c>
      <c r="G2" s="7" t="s">
        <v>274</v>
      </c>
      <c r="H2" s="7" t="s">
        <v>275</v>
      </c>
    </row>
    <row r="3" spans="1:9">
      <c r="B3" s="12"/>
    </row>
    <row r="4" spans="1:9">
      <c r="B4" s="14" t="s">
        <v>259</v>
      </c>
    </row>
    <row r="5" spans="1:9" s="6" customFormat="1">
      <c r="B5" s="12" t="s">
        <v>239</v>
      </c>
      <c r="C5" s="6" t="s">
        <v>255</v>
      </c>
      <c r="D5" s="16" t="s">
        <v>240</v>
      </c>
      <c r="E5" s="6" t="s">
        <v>280</v>
      </c>
      <c r="F5" s="6" t="s">
        <v>260</v>
      </c>
      <c r="I5" s="6">
        <v>1</v>
      </c>
    </row>
    <row r="6" spans="1:9" s="6" customFormat="1">
      <c r="B6" s="12"/>
    </row>
    <row r="7" spans="1:9">
      <c r="I7" s="6"/>
    </row>
    <row r="8" spans="1:9">
      <c r="B8" s="14" t="s">
        <v>234</v>
      </c>
      <c r="I8" s="6"/>
    </row>
    <row r="9" spans="1:9" s="6" customFormat="1">
      <c r="B9" s="16" t="s">
        <v>241</v>
      </c>
      <c r="C9" s="6" t="s">
        <v>91</v>
      </c>
      <c r="D9" s="6" t="s">
        <v>256</v>
      </c>
      <c r="E9" s="6" t="s">
        <v>279</v>
      </c>
      <c r="F9" s="6" t="s">
        <v>261</v>
      </c>
      <c r="I9" s="6">
        <v>1</v>
      </c>
    </row>
    <row r="10" spans="1:9" s="6" customFormat="1">
      <c r="B10" s="16" t="s">
        <v>242</v>
      </c>
      <c r="C10" s="6" t="s">
        <v>91</v>
      </c>
      <c r="D10" s="6" t="s">
        <v>257</v>
      </c>
      <c r="E10" s="6" t="s">
        <v>146</v>
      </c>
      <c r="F10" s="6" t="s">
        <v>261</v>
      </c>
      <c r="I10" s="6">
        <v>2</v>
      </c>
    </row>
    <row r="11" spans="1:9" s="6" customFormat="1">
      <c r="B11" s="16" t="s">
        <v>243</v>
      </c>
      <c r="C11" s="6" t="s">
        <v>91</v>
      </c>
      <c r="D11" s="6" t="s">
        <v>258</v>
      </c>
      <c r="E11" s="6" t="s">
        <v>146</v>
      </c>
      <c r="F11" s="6" t="s">
        <v>261</v>
      </c>
      <c r="I11" s="6">
        <v>3</v>
      </c>
    </row>
    <row r="12" spans="1:9" s="6" customFormat="1">
      <c r="B12" s="16" t="s">
        <v>244</v>
      </c>
      <c r="C12" s="6" t="s">
        <v>92</v>
      </c>
      <c r="D12" s="6" t="s">
        <v>262</v>
      </c>
      <c r="E12" s="6" t="s">
        <v>146</v>
      </c>
      <c r="F12" s="6" t="s">
        <v>261</v>
      </c>
      <c r="I12" s="6">
        <v>4</v>
      </c>
    </row>
    <row r="13" spans="1:9" s="6" customFormat="1">
      <c r="B13" s="16" t="s">
        <v>245</v>
      </c>
      <c r="C13" s="6" t="s">
        <v>92</v>
      </c>
      <c r="D13" s="6" t="s">
        <v>263</v>
      </c>
      <c r="E13" s="6" t="s">
        <v>146</v>
      </c>
      <c r="F13" s="6" t="s">
        <v>261</v>
      </c>
      <c r="I13" s="6">
        <v>5</v>
      </c>
    </row>
    <row r="14" spans="1:9" s="6" customFormat="1">
      <c r="B14" s="16" t="s">
        <v>246</v>
      </c>
      <c r="C14" s="6" t="s">
        <v>92</v>
      </c>
      <c r="D14" s="6" t="s">
        <v>264</v>
      </c>
      <c r="E14" s="6" t="s">
        <v>146</v>
      </c>
      <c r="F14" s="6" t="s">
        <v>261</v>
      </c>
      <c r="I14" s="6">
        <v>6</v>
      </c>
    </row>
    <row r="15" spans="1:9" s="6" customFormat="1">
      <c r="B15" s="16" t="s">
        <v>247</v>
      </c>
      <c r="C15" s="6" t="s">
        <v>92</v>
      </c>
      <c r="D15" s="6" t="s">
        <v>265</v>
      </c>
      <c r="E15" s="6" t="s">
        <v>146</v>
      </c>
      <c r="F15" s="6" t="s">
        <v>261</v>
      </c>
      <c r="I15" s="6">
        <v>7</v>
      </c>
    </row>
    <row r="16" spans="1:9" s="6" customFormat="1">
      <c r="B16" s="16" t="s">
        <v>248</v>
      </c>
      <c r="C16" s="6" t="s">
        <v>92</v>
      </c>
      <c r="D16" s="6" t="s">
        <v>266</v>
      </c>
      <c r="E16" s="6" t="s">
        <v>146</v>
      </c>
      <c r="F16" s="6" t="s">
        <v>261</v>
      </c>
      <c r="I16" s="6">
        <v>8</v>
      </c>
    </row>
    <row r="17" spans="1:9" s="6" customFormat="1">
      <c r="B17" s="16" t="s">
        <v>249</v>
      </c>
      <c r="C17" s="6" t="s">
        <v>92</v>
      </c>
      <c r="D17" s="6" t="s">
        <v>267</v>
      </c>
      <c r="E17" s="6" t="s">
        <v>146</v>
      </c>
      <c r="F17" s="6" t="s">
        <v>261</v>
      </c>
      <c r="I17" s="6">
        <v>9</v>
      </c>
    </row>
    <row r="18" spans="1:9" s="6" customFormat="1">
      <c r="B18" s="16" t="s">
        <v>250</v>
      </c>
      <c r="C18" s="6" t="s">
        <v>92</v>
      </c>
      <c r="D18" s="6" t="s">
        <v>268</v>
      </c>
      <c r="E18" s="6" t="s">
        <v>146</v>
      </c>
      <c r="F18" s="6" t="s">
        <v>261</v>
      </c>
      <c r="I18" s="6">
        <v>10</v>
      </c>
    </row>
    <row r="19" spans="1:9" s="6" customFormat="1">
      <c r="B19" s="16" t="s">
        <v>251</v>
      </c>
      <c r="C19" s="6" t="s">
        <v>92</v>
      </c>
      <c r="D19" s="6" t="s">
        <v>269</v>
      </c>
      <c r="E19" s="6" t="s">
        <v>146</v>
      </c>
      <c r="F19" s="6" t="s">
        <v>261</v>
      </c>
      <c r="I19" s="6">
        <v>11</v>
      </c>
    </row>
    <row r="20" spans="1:9" s="6" customFormat="1">
      <c r="B20" s="16" t="s">
        <v>252</v>
      </c>
      <c r="C20" s="6" t="s">
        <v>92</v>
      </c>
      <c r="D20" s="6" t="s">
        <v>270</v>
      </c>
      <c r="E20" s="6" t="s">
        <v>146</v>
      </c>
      <c r="F20" s="6" t="s">
        <v>261</v>
      </c>
      <c r="I20" s="6">
        <v>12</v>
      </c>
    </row>
    <row r="21" spans="1:9" s="6" customFormat="1">
      <c r="B21" s="16" t="s">
        <v>253</v>
      </c>
      <c r="C21" s="6" t="s">
        <v>92</v>
      </c>
      <c r="D21" s="6" t="s">
        <v>271</v>
      </c>
      <c r="E21" s="6" t="s">
        <v>146</v>
      </c>
      <c r="F21" s="6" t="s">
        <v>261</v>
      </c>
      <c r="I21" s="6">
        <v>13</v>
      </c>
    </row>
    <row r="22" spans="1:9" s="6" customFormat="1">
      <c r="B22" s="16" t="s">
        <v>254</v>
      </c>
      <c r="C22" s="6" t="s">
        <v>92</v>
      </c>
      <c r="D22" s="6" t="s">
        <v>272</v>
      </c>
      <c r="E22" s="6" t="s">
        <v>146</v>
      </c>
      <c r="F22" s="6" t="s">
        <v>261</v>
      </c>
      <c r="I22" s="6">
        <v>14</v>
      </c>
    </row>
    <row r="23" spans="1:9" s="6" customFormat="1">
      <c r="B23" s="12"/>
    </row>
    <row r="24" spans="1:9" s="6" customFormat="1">
      <c r="B24" s="12"/>
    </row>
    <row r="25" spans="1:9" s="6" customFormat="1">
      <c r="B25" s="14" t="s">
        <v>182</v>
      </c>
    </row>
    <row r="26" spans="1:9" s="6" customFormat="1">
      <c r="B26" s="12" t="s">
        <v>98</v>
      </c>
      <c r="C26" s="6" t="s">
        <v>91</v>
      </c>
      <c r="D26" s="6">
        <v>1001</v>
      </c>
      <c r="E26" s="6" t="s">
        <v>126</v>
      </c>
      <c r="F26" s="6" t="s">
        <v>288</v>
      </c>
      <c r="I26" s="6">
        <v>1001</v>
      </c>
    </row>
    <row r="27" spans="1:9" s="6" customFormat="1">
      <c r="B27" s="12" t="s">
        <v>100</v>
      </c>
      <c r="C27" s="6" t="s">
        <v>91</v>
      </c>
      <c r="D27" s="6">
        <v>1002</v>
      </c>
      <c r="E27" s="6" t="s">
        <v>126</v>
      </c>
      <c r="F27" s="6" t="s">
        <v>288</v>
      </c>
      <c r="I27" s="6">
        <v>1002</v>
      </c>
    </row>
    <row r="28" spans="1:9" s="6" customFormat="1">
      <c r="B28" s="12" t="s">
        <v>102</v>
      </c>
      <c r="C28" s="6" t="s">
        <v>91</v>
      </c>
      <c r="D28" s="6">
        <v>1003</v>
      </c>
      <c r="E28" s="6" t="s">
        <v>126</v>
      </c>
      <c r="F28" s="6" t="s">
        <v>288</v>
      </c>
      <c r="I28" s="6">
        <v>1003</v>
      </c>
    </row>
    <row r="29" spans="1:9" s="6" customFormat="1">
      <c r="A29" s="6">
        <v>1004</v>
      </c>
      <c r="B29" s="12" t="s">
        <v>104</v>
      </c>
      <c r="C29" s="6" t="s">
        <v>91</v>
      </c>
      <c r="D29" s="6">
        <v>1004</v>
      </c>
      <c r="E29" s="6" t="s">
        <v>126</v>
      </c>
      <c r="F29" s="6" t="s">
        <v>288</v>
      </c>
    </row>
    <row r="30" spans="1:9" s="6" customFormat="1">
      <c r="B30" s="12" t="s">
        <v>183</v>
      </c>
      <c r="C30" s="6" t="s">
        <v>92</v>
      </c>
      <c r="D30" s="6">
        <v>1001</v>
      </c>
      <c r="E30" s="6" t="s">
        <v>126</v>
      </c>
      <c r="F30" s="6" t="s">
        <v>288</v>
      </c>
      <c r="I30" s="6">
        <v>1005</v>
      </c>
    </row>
    <row r="31" spans="1:9" s="6" customFormat="1">
      <c r="B31" s="12" t="s">
        <v>184</v>
      </c>
      <c r="C31" s="6" t="s">
        <v>92</v>
      </c>
      <c r="D31" s="6">
        <v>1002</v>
      </c>
      <c r="E31" s="6" t="s">
        <v>126</v>
      </c>
      <c r="F31" s="6" t="s">
        <v>288</v>
      </c>
      <c r="I31" s="6">
        <v>1006</v>
      </c>
    </row>
    <row r="32" spans="1:9" s="6" customFormat="1">
      <c r="B32" s="12" t="s">
        <v>185</v>
      </c>
      <c r="C32" s="6" t="s">
        <v>92</v>
      </c>
      <c r="D32" s="6">
        <v>1003</v>
      </c>
      <c r="E32" s="6" t="s">
        <v>126</v>
      </c>
      <c r="F32" s="6" t="s">
        <v>288</v>
      </c>
      <c r="I32" s="6">
        <v>1007</v>
      </c>
    </row>
    <row r="33" spans="1:9" s="6" customFormat="1">
      <c r="B33" s="12" t="s">
        <v>186</v>
      </c>
      <c r="C33" s="6" t="s">
        <v>92</v>
      </c>
      <c r="D33" s="6">
        <v>1004</v>
      </c>
      <c r="E33" s="6" t="s">
        <v>126</v>
      </c>
      <c r="F33" s="6" t="s">
        <v>288</v>
      </c>
      <c r="I33" s="6">
        <v>1008</v>
      </c>
    </row>
    <row r="34" spans="1:9" s="6" customFormat="1">
      <c r="B34" s="12"/>
    </row>
    <row r="35" spans="1:9" s="6" customFormat="1">
      <c r="B35" s="12"/>
    </row>
    <row r="36" spans="1:9" s="6" customFormat="1">
      <c r="B36" s="12"/>
    </row>
    <row r="37" spans="1:9" s="6" customFormat="1">
      <c r="B37" s="12"/>
    </row>
    <row r="38" spans="1:9" s="6" customFormat="1">
      <c r="B38" s="12"/>
    </row>
    <row r="39" spans="1:9" s="6" customFormat="1">
      <c r="B39" s="12"/>
    </row>
    <row r="41" spans="1:9">
      <c r="A41" s="11" t="s">
        <v>83</v>
      </c>
    </row>
  </sheetData>
  <phoneticPr fontId="1" type="noConversion"/>
  <dataValidations count="1">
    <dataValidation type="list" allowBlank="1" showInputMessage="1" showErrorMessage="1" sqref="E1:E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I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41" sqref="F41:F48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6" width="16.5703125" customWidth="1"/>
    <col min="7" max="7" width="12.5703125" customWidth="1"/>
    <col min="9" max="9" width="17.7109375" customWidth="1"/>
  </cols>
  <sheetData>
    <row r="1" spans="1:9" s="7" customFormat="1">
      <c r="A1" s="7" t="s">
        <v>79</v>
      </c>
      <c r="B1" s="7" t="s">
        <v>85</v>
      </c>
      <c r="C1" s="7" t="s">
        <v>86</v>
      </c>
      <c r="D1" s="7" t="s">
        <v>87</v>
      </c>
      <c r="E1" s="7" t="s">
        <v>95</v>
      </c>
      <c r="F1" s="7" t="s">
        <v>286</v>
      </c>
      <c r="G1" s="7" t="s">
        <v>122</v>
      </c>
      <c r="H1" s="7" t="s">
        <v>237</v>
      </c>
      <c r="I1" s="7" t="s">
        <v>232</v>
      </c>
    </row>
    <row r="2" spans="1:9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94</v>
      </c>
      <c r="F2" s="7" t="s">
        <v>287</v>
      </c>
      <c r="G2" s="7" t="s">
        <v>121</v>
      </c>
      <c r="H2" s="7" t="s">
        <v>238</v>
      </c>
      <c r="I2" s="7" t="s">
        <v>233</v>
      </c>
    </row>
    <row r="3" spans="1:9">
      <c r="B3" s="12"/>
    </row>
    <row r="4" spans="1:9">
      <c r="B4" s="14" t="s">
        <v>152</v>
      </c>
    </row>
    <row r="5" spans="1:9" s="6" customFormat="1">
      <c r="A5" s="6">
        <v>1</v>
      </c>
      <c r="B5" s="12" t="s">
        <v>108</v>
      </c>
      <c r="C5" s="6" t="s">
        <v>96</v>
      </c>
      <c r="D5" s="6" t="str">
        <f>"monster"&amp;A5</f>
        <v>monster1</v>
      </c>
      <c r="E5" s="6">
        <v>2</v>
      </c>
      <c r="F5" s="6" t="s">
        <v>124</v>
      </c>
      <c r="G5" s="6">
        <f>ROUND(E5/2,0)</f>
        <v>1</v>
      </c>
    </row>
    <row r="6" spans="1:9" s="6" customFormat="1">
      <c r="A6" s="6">
        <v>2</v>
      </c>
      <c r="B6" s="12" t="s">
        <v>153</v>
      </c>
      <c r="C6" s="6" t="s">
        <v>96</v>
      </c>
      <c r="D6" s="6" t="str">
        <f t="shared" ref="D6:D36" si="0">"monster"&amp;A6</f>
        <v>monster2</v>
      </c>
      <c r="E6" s="6">
        <v>4</v>
      </c>
      <c r="F6" s="6" t="s">
        <v>124</v>
      </c>
      <c r="G6" s="6">
        <f t="shared" ref="G6:G36" si="1">ROUND(E6/2,0)</f>
        <v>2</v>
      </c>
    </row>
    <row r="7" spans="1:9" s="6" customFormat="1">
      <c r="A7" s="6">
        <v>3</v>
      </c>
      <c r="B7" s="12" t="s">
        <v>154</v>
      </c>
      <c r="C7" s="6" t="s">
        <v>96</v>
      </c>
      <c r="D7" s="6" t="str">
        <f t="shared" si="0"/>
        <v>monster3</v>
      </c>
      <c r="E7" s="6">
        <v>6</v>
      </c>
      <c r="F7" s="6" t="s">
        <v>124</v>
      </c>
      <c r="G7" s="6">
        <f t="shared" si="1"/>
        <v>3</v>
      </c>
    </row>
    <row r="8" spans="1:9" s="6" customFormat="1">
      <c r="A8" s="6">
        <v>4</v>
      </c>
      <c r="B8" s="12" t="s">
        <v>155</v>
      </c>
      <c r="C8" s="6" t="s">
        <v>92</v>
      </c>
      <c r="D8" s="6" t="str">
        <f t="shared" si="0"/>
        <v>monster4</v>
      </c>
      <c r="E8" s="6">
        <v>8</v>
      </c>
      <c r="F8" s="6" t="s">
        <v>124</v>
      </c>
      <c r="G8" s="6">
        <f t="shared" si="1"/>
        <v>4</v>
      </c>
    </row>
    <row r="9" spans="1:9" s="6" customFormat="1">
      <c r="A9" s="6">
        <v>5</v>
      </c>
      <c r="B9" s="12" t="s">
        <v>156</v>
      </c>
      <c r="C9" s="6" t="s">
        <v>92</v>
      </c>
      <c r="D9" s="6" t="str">
        <f t="shared" si="0"/>
        <v>monster5</v>
      </c>
      <c r="E9" s="6">
        <v>10</v>
      </c>
      <c r="F9" s="6" t="s">
        <v>124</v>
      </c>
      <c r="G9" s="6">
        <f t="shared" si="1"/>
        <v>5</v>
      </c>
    </row>
    <row r="10" spans="1:9" s="6" customFormat="1">
      <c r="A10" s="6">
        <v>6</v>
      </c>
      <c r="B10" s="12" t="s">
        <v>157</v>
      </c>
      <c r="C10" s="6" t="s">
        <v>92</v>
      </c>
      <c r="D10" s="6" t="str">
        <f t="shared" si="0"/>
        <v>monster6</v>
      </c>
      <c r="E10" s="6">
        <v>12</v>
      </c>
      <c r="F10" s="6" t="s">
        <v>124</v>
      </c>
      <c r="G10" s="6">
        <f t="shared" si="1"/>
        <v>6</v>
      </c>
    </row>
    <row r="11" spans="1:9" s="6" customFormat="1">
      <c r="A11" s="6">
        <v>7</v>
      </c>
      <c r="B11" s="12" t="s">
        <v>158</v>
      </c>
      <c r="C11" s="6" t="s">
        <v>92</v>
      </c>
      <c r="D11" s="6" t="str">
        <f t="shared" si="0"/>
        <v>monster7</v>
      </c>
      <c r="E11" s="6">
        <v>14</v>
      </c>
      <c r="F11" s="6" t="s">
        <v>124</v>
      </c>
      <c r="G11" s="6">
        <f t="shared" si="1"/>
        <v>7</v>
      </c>
    </row>
    <row r="12" spans="1:9" s="6" customFormat="1">
      <c r="A12" s="6">
        <v>8</v>
      </c>
      <c r="B12" s="12" t="s">
        <v>171</v>
      </c>
      <c r="C12" s="6" t="s">
        <v>92</v>
      </c>
      <c r="D12" s="6" t="str">
        <f t="shared" si="0"/>
        <v>monster8</v>
      </c>
      <c r="E12" s="6">
        <v>16</v>
      </c>
      <c r="F12" s="6" t="s">
        <v>124</v>
      </c>
      <c r="G12" s="6">
        <f t="shared" si="1"/>
        <v>8</v>
      </c>
    </row>
    <row r="13" spans="1:9" s="6" customFormat="1">
      <c r="A13" s="6">
        <v>9</v>
      </c>
      <c r="B13" s="12" t="s">
        <v>160</v>
      </c>
      <c r="C13" s="6" t="s">
        <v>92</v>
      </c>
      <c r="D13" s="6" t="str">
        <f t="shared" si="0"/>
        <v>monster9</v>
      </c>
      <c r="E13" s="6">
        <v>18</v>
      </c>
      <c r="F13" s="6" t="s">
        <v>124</v>
      </c>
      <c r="G13" s="6">
        <f t="shared" si="1"/>
        <v>9</v>
      </c>
    </row>
    <row r="14" spans="1:9" s="6" customFormat="1">
      <c r="A14" s="6">
        <v>10</v>
      </c>
      <c r="B14" s="12" t="s">
        <v>161</v>
      </c>
      <c r="C14" s="6" t="s">
        <v>92</v>
      </c>
      <c r="D14" s="6" t="str">
        <f t="shared" si="0"/>
        <v>monster10</v>
      </c>
      <c r="E14" s="6">
        <v>20</v>
      </c>
      <c r="F14" s="6" t="s">
        <v>124</v>
      </c>
      <c r="G14" s="6">
        <f t="shared" si="1"/>
        <v>10</v>
      </c>
    </row>
    <row r="15" spans="1:9" s="6" customFormat="1">
      <c r="A15" s="6">
        <v>11</v>
      </c>
      <c r="B15" s="12" t="s">
        <v>163</v>
      </c>
      <c r="C15" s="6" t="s">
        <v>92</v>
      </c>
      <c r="D15" s="6" t="str">
        <f t="shared" si="0"/>
        <v>monster11</v>
      </c>
      <c r="E15" s="6">
        <v>22</v>
      </c>
      <c r="F15" s="6" t="s">
        <v>124</v>
      </c>
      <c r="G15" s="6">
        <f t="shared" si="1"/>
        <v>11</v>
      </c>
    </row>
    <row r="16" spans="1:9" s="6" customFormat="1">
      <c r="A16" s="6">
        <v>12</v>
      </c>
      <c r="B16" s="12" t="s">
        <v>162</v>
      </c>
      <c r="C16" s="6" t="s">
        <v>92</v>
      </c>
      <c r="D16" s="6" t="str">
        <f t="shared" si="0"/>
        <v>monster12</v>
      </c>
      <c r="E16" s="6">
        <v>24</v>
      </c>
      <c r="F16" s="6" t="s">
        <v>124</v>
      </c>
      <c r="G16" s="6">
        <f t="shared" si="1"/>
        <v>12</v>
      </c>
    </row>
    <row r="17" spans="1:8" s="6" customFormat="1">
      <c r="A17" s="6">
        <v>13</v>
      </c>
      <c r="B17" s="12" t="s">
        <v>164</v>
      </c>
      <c r="C17" s="6" t="s">
        <v>92</v>
      </c>
      <c r="D17" s="6" t="str">
        <f t="shared" si="0"/>
        <v>monster13</v>
      </c>
      <c r="E17" s="6">
        <v>26</v>
      </c>
      <c r="F17" s="6" t="s">
        <v>124</v>
      </c>
      <c r="G17" s="6">
        <f t="shared" si="1"/>
        <v>13</v>
      </c>
    </row>
    <row r="18" spans="1:8" s="6" customFormat="1">
      <c r="A18" s="6">
        <v>14</v>
      </c>
      <c r="B18" s="12" t="s">
        <v>165</v>
      </c>
      <c r="C18" s="6" t="s">
        <v>92</v>
      </c>
      <c r="D18" s="6" t="str">
        <f t="shared" si="0"/>
        <v>monster14</v>
      </c>
      <c r="E18" s="6">
        <v>28</v>
      </c>
      <c r="F18" s="6" t="s">
        <v>124</v>
      </c>
      <c r="G18" s="6">
        <f t="shared" si="1"/>
        <v>14</v>
      </c>
    </row>
    <row r="19" spans="1:8" s="6" customFormat="1">
      <c r="A19" s="6">
        <v>15</v>
      </c>
      <c r="B19" s="12" t="s">
        <v>166</v>
      </c>
      <c r="C19" s="6" t="s">
        <v>92</v>
      </c>
      <c r="D19" s="6" t="str">
        <f t="shared" si="0"/>
        <v>monster15</v>
      </c>
      <c r="E19" s="6">
        <v>30</v>
      </c>
      <c r="F19" s="6" t="s">
        <v>124</v>
      </c>
      <c r="G19" s="6">
        <f t="shared" si="1"/>
        <v>15</v>
      </c>
    </row>
    <row r="20" spans="1:8" s="6" customFormat="1">
      <c r="A20" s="6">
        <v>16</v>
      </c>
      <c r="B20" s="12" t="s">
        <v>167</v>
      </c>
      <c r="C20" s="6" t="s">
        <v>92</v>
      </c>
      <c r="D20" s="6" t="str">
        <f t="shared" si="0"/>
        <v>monster16</v>
      </c>
      <c r="E20" s="6">
        <v>35</v>
      </c>
      <c r="F20" s="6" t="s">
        <v>124</v>
      </c>
      <c r="G20" s="6">
        <f t="shared" si="1"/>
        <v>18</v>
      </c>
    </row>
    <row r="21" spans="1:8" s="6" customFormat="1">
      <c r="A21" s="6">
        <v>17</v>
      </c>
      <c r="B21" s="12" t="s">
        <v>235</v>
      </c>
      <c r="C21" s="6" t="s">
        <v>92</v>
      </c>
      <c r="D21" s="6" t="str">
        <f t="shared" si="0"/>
        <v>monster17</v>
      </c>
      <c r="E21" s="6">
        <v>40</v>
      </c>
      <c r="F21" s="6" t="s">
        <v>124</v>
      </c>
      <c r="G21" s="6">
        <f t="shared" si="1"/>
        <v>20</v>
      </c>
    </row>
    <row r="22" spans="1:8" s="6" customFormat="1">
      <c r="A22" s="6">
        <v>18</v>
      </c>
      <c r="B22" s="12" t="s">
        <v>168</v>
      </c>
      <c r="C22" s="6" t="s">
        <v>92</v>
      </c>
      <c r="D22" s="6" t="str">
        <f t="shared" si="0"/>
        <v>monster18</v>
      </c>
      <c r="E22" s="6">
        <v>45</v>
      </c>
      <c r="F22" s="6" t="s">
        <v>124</v>
      </c>
      <c r="G22" s="6">
        <f t="shared" si="1"/>
        <v>23</v>
      </c>
    </row>
    <row r="23" spans="1:8" s="6" customFormat="1">
      <c r="A23" s="6">
        <v>19</v>
      </c>
      <c r="B23" s="12" t="s">
        <v>169</v>
      </c>
      <c r="C23" s="6" t="s">
        <v>92</v>
      </c>
      <c r="D23" s="6" t="str">
        <f t="shared" si="0"/>
        <v>monster19</v>
      </c>
      <c r="E23" s="6">
        <v>50</v>
      </c>
      <c r="F23" s="6" t="s">
        <v>124</v>
      </c>
      <c r="G23" s="6">
        <f t="shared" si="1"/>
        <v>25</v>
      </c>
    </row>
    <row r="24" spans="1:8" s="6" customFormat="1">
      <c r="A24" s="6">
        <v>20</v>
      </c>
      <c r="B24" s="12" t="s">
        <v>170</v>
      </c>
      <c r="C24" s="6" t="s">
        <v>92</v>
      </c>
      <c r="D24" s="6" t="str">
        <f t="shared" si="0"/>
        <v>monster20</v>
      </c>
      <c r="E24" s="6">
        <v>55</v>
      </c>
      <c r="F24" s="6" t="s">
        <v>124</v>
      </c>
      <c r="G24" s="6">
        <f t="shared" si="1"/>
        <v>28</v>
      </c>
    </row>
    <row r="25" spans="1:8" s="6" customFormat="1">
      <c r="A25" s="6">
        <v>21</v>
      </c>
      <c r="B25" s="12" t="s">
        <v>159</v>
      </c>
      <c r="C25" s="6" t="s">
        <v>92</v>
      </c>
      <c r="D25" s="6" t="str">
        <f t="shared" si="0"/>
        <v>monster21</v>
      </c>
      <c r="E25" s="6">
        <v>60</v>
      </c>
      <c r="F25" s="6" t="s">
        <v>124</v>
      </c>
      <c r="G25" s="6">
        <f t="shared" si="1"/>
        <v>30</v>
      </c>
    </row>
    <row r="26" spans="1:8" s="6" customFormat="1">
      <c r="A26" s="6">
        <v>22</v>
      </c>
      <c r="B26" s="12" t="s">
        <v>109</v>
      </c>
      <c r="C26" s="6" t="s">
        <v>96</v>
      </c>
      <c r="D26" s="6" t="str">
        <f t="shared" si="0"/>
        <v>monster22</v>
      </c>
      <c r="E26" s="6">
        <v>70</v>
      </c>
      <c r="F26" s="6" t="s">
        <v>124</v>
      </c>
      <c r="G26" s="6">
        <f t="shared" si="1"/>
        <v>35</v>
      </c>
    </row>
    <row r="27" spans="1:8" s="6" customFormat="1">
      <c r="A27" s="6">
        <v>23</v>
      </c>
      <c r="B27" s="12" t="s">
        <v>110</v>
      </c>
      <c r="C27" s="6" t="s">
        <v>96</v>
      </c>
      <c r="D27" s="6" t="str">
        <f t="shared" si="0"/>
        <v>monster23</v>
      </c>
      <c r="E27" s="6">
        <v>80</v>
      </c>
      <c r="F27" s="6" t="s">
        <v>124</v>
      </c>
      <c r="G27" s="6">
        <f t="shared" si="1"/>
        <v>40</v>
      </c>
    </row>
    <row r="28" spans="1:8" s="6" customFormat="1">
      <c r="A28" s="6">
        <v>24</v>
      </c>
      <c r="B28" s="12" t="s">
        <v>111</v>
      </c>
      <c r="C28" s="6" t="s">
        <v>96</v>
      </c>
      <c r="D28" s="6" t="str">
        <f t="shared" si="0"/>
        <v>monster24</v>
      </c>
      <c r="E28" s="6">
        <v>90</v>
      </c>
      <c r="F28" s="6" t="s">
        <v>124</v>
      </c>
      <c r="G28" s="6">
        <f t="shared" si="1"/>
        <v>45</v>
      </c>
    </row>
    <row r="29" spans="1:8" s="6" customFormat="1">
      <c r="A29" s="6">
        <v>25</v>
      </c>
      <c r="B29" s="12" t="s">
        <v>172</v>
      </c>
      <c r="C29" s="6" t="s">
        <v>96</v>
      </c>
      <c r="D29" s="6" t="str">
        <f t="shared" si="0"/>
        <v>monster25</v>
      </c>
      <c r="E29" s="6">
        <v>120</v>
      </c>
      <c r="F29" s="6" t="s">
        <v>124</v>
      </c>
      <c r="G29" s="6">
        <f t="shared" si="1"/>
        <v>60</v>
      </c>
    </row>
    <row r="30" spans="1:8" s="6" customFormat="1">
      <c r="A30" s="6">
        <v>26</v>
      </c>
      <c r="B30" s="12" t="s">
        <v>173</v>
      </c>
      <c r="C30" s="6" t="s">
        <v>96</v>
      </c>
      <c r="D30" s="6" t="str">
        <f t="shared" si="0"/>
        <v>monster26</v>
      </c>
      <c r="E30" s="6">
        <v>150</v>
      </c>
      <c r="F30" s="6" t="s">
        <v>124</v>
      </c>
      <c r="G30" s="6">
        <f t="shared" si="1"/>
        <v>75</v>
      </c>
      <c r="H30" s="6">
        <v>3</v>
      </c>
    </row>
    <row r="31" spans="1:8" s="6" customFormat="1">
      <c r="A31" s="6">
        <v>27</v>
      </c>
      <c r="B31" s="12" t="s">
        <v>113</v>
      </c>
      <c r="C31" s="6" t="s">
        <v>96</v>
      </c>
      <c r="D31" s="6" t="str">
        <f t="shared" si="0"/>
        <v>monster27</v>
      </c>
      <c r="E31" s="6">
        <v>180</v>
      </c>
      <c r="F31" s="6" t="s">
        <v>124</v>
      </c>
      <c r="G31" s="6">
        <f t="shared" si="1"/>
        <v>90</v>
      </c>
      <c r="H31" s="6">
        <v>1</v>
      </c>
    </row>
    <row r="32" spans="1:8" s="6" customFormat="1">
      <c r="A32" s="6">
        <v>28</v>
      </c>
      <c r="B32" s="12" t="s">
        <v>115</v>
      </c>
      <c r="C32" s="6" t="s">
        <v>96</v>
      </c>
      <c r="D32" s="6" t="str">
        <f t="shared" si="0"/>
        <v>monster28</v>
      </c>
      <c r="E32" s="6">
        <v>210</v>
      </c>
      <c r="F32" s="6" t="s">
        <v>124</v>
      </c>
      <c r="G32" s="6">
        <f t="shared" si="1"/>
        <v>105</v>
      </c>
      <c r="H32" s="6">
        <v>2</v>
      </c>
    </row>
    <row r="33" spans="1:8" s="6" customFormat="1">
      <c r="A33" s="6">
        <v>29</v>
      </c>
      <c r="B33" s="12" t="s">
        <v>174</v>
      </c>
      <c r="C33" s="6" t="s">
        <v>92</v>
      </c>
      <c r="D33" s="6" t="str">
        <f t="shared" si="0"/>
        <v>monster29</v>
      </c>
      <c r="E33" s="6">
        <v>250</v>
      </c>
      <c r="F33" s="6" t="s">
        <v>124</v>
      </c>
      <c r="G33" s="6">
        <f t="shared" si="1"/>
        <v>125</v>
      </c>
    </row>
    <row r="34" spans="1:8" s="6" customFormat="1">
      <c r="A34" s="6">
        <v>30</v>
      </c>
      <c r="B34" s="12" t="s">
        <v>236</v>
      </c>
      <c r="C34" s="6" t="s">
        <v>99</v>
      </c>
      <c r="D34" s="6" t="str">
        <f t="shared" si="0"/>
        <v>monster30</v>
      </c>
      <c r="E34" s="6">
        <v>290</v>
      </c>
      <c r="F34" s="6" t="s">
        <v>124</v>
      </c>
      <c r="G34" s="6">
        <f t="shared" si="1"/>
        <v>145</v>
      </c>
    </row>
    <row r="35" spans="1:8" s="6" customFormat="1">
      <c r="A35" s="6">
        <v>31</v>
      </c>
      <c r="B35" s="12" t="s">
        <v>175</v>
      </c>
      <c r="C35" s="6" t="s">
        <v>92</v>
      </c>
      <c r="D35" s="6" t="str">
        <f t="shared" si="0"/>
        <v>monster31</v>
      </c>
      <c r="E35" s="6">
        <v>330</v>
      </c>
      <c r="F35" s="6" t="s">
        <v>124</v>
      </c>
      <c r="G35" s="6">
        <f t="shared" si="1"/>
        <v>165</v>
      </c>
      <c r="H35" s="6">
        <v>5</v>
      </c>
    </row>
    <row r="36" spans="1:8" s="6" customFormat="1">
      <c r="A36" s="6">
        <v>32</v>
      </c>
      <c r="B36" s="12" t="s">
        <v>176</v>
      </c>
      <c r="C36" s="6" t="s">
        <v>92</v>
      </c>
      <c r="D36" s="6" t="str">
        <f t="shared" si="0"/>
        <v>monster32</v>
      </c>
      <c r="E36" s="6">
        <v>370</v>
      </c>
      <c r="F36" s="6" t="s">
        <v>124</v>
      </c>
      <c r="G36" s="6">
        <f t="shared" si="1"/>
        <v>185</v>
      </c>
      <c r="H36" s="6">
        <v>4</v>
      </c>
    </row>
    <row r="37" spans="1:8" s="6" customFormat="1">
      <c r="B37" s="12"/>
    </row>
    <row r="38" spans="1:8" s="6" customFormat="1">
      <c r="B38" s="12"/>
    </row>
    <row r="39" spans="1:8" s="6" customFormat="1">
      <c r="B39" s="12"/>
    </row>
    <row r="40" spans="1:8" s="6" customFormat="1">
      <c r="B40" s="14" t="s">
        <v>182</v>
      </c>
    </row>
    <row r="41" spans="1:8" s="6" customFormat="1">
      <c r="A41" s="6">
        <v>1001</v>
      </c>
      <c r="B41" s="12" t="s">
        <v>98</v>
      </c>
      <c r="C41" s="6" t="s">
        <v>96</v>
      </c>
      <c r="D41" s="6" t="str">
        <f t="shared" ref="D41:D48" si="2">"monster"&amp;A41</f>
        <v>monster1001</v>
      </c>
      <c r="E41" s="6">
        <v>400</v>
      </c>
      <c r="F41" s="6" t="s">
        <v>126</v>
      </c>
      <c r="G41" s="6">
        <f>ROUND(E41/2,0)</f>
        <v>200</v>
      </c>
      <c r="H41" s="6">
        <v>6</v>
      </c>
    </row>
    <row r="42" spans="1:8" s="6" customFormat="1">
      <c r="A42" s="6">
        <v>1002</v>
      </c>
      <c r="B42" s="12" t="s">
        <v>100</v>
      </c>
      <c r="C42" s="6" t="s">
        <v>96</v>
      </c>
      <c r="D42" s="6" t="str">
        <f t="shared" si="2"/>
        <v>monster1002</v>
      </c>
      <c r="E42" s="6">
        <v>400</v>
      </c>
      <c r="F42" s="6" t="s">
        <v>126</v>
      </c>
      <c r="G42" s="6">
        <f t="shared" ref="G42:G48" si="3">ROUND(E42/2,0)</f>
        <v>200</v>
      </c>
      <c r="H42" s="6">
        <v>7</v>
      </c>
    </row>
    <row r="43" spans="1:8" s="6" customFormat="1">
      <c r="A43" s="6">
        <v>1003</v>
      </c>
      <c r="B43" s="12" t="s">
        <v>102</v>
      </c>
      <c r="C43" s="6" t="s">
        <v>96</v>
      </c>
      <c r="D43" s="6" t="str">
        <f t="shared" si="2"/>
        <v>monster1003</v>
      </c>
      <c r="E43" s="6">
        <v>500</v>
      </c>
      <c r="F43" s="6" t="s">
        <v>126</v>
      </c>
      <c r="G43" s="6">
        <f t="shared" si="3"/>
        <v>250</v>
      </c>
      <c r="H43" s="6">
        <v>8</v>
      </c>
    </row>
    <row r="44" spans="1:8" s="6" customFormat="1">
      <c r="A44" s="6">
        <v>1004</v>
      </c>
      <c r="B44" s="12" t="s">
        <v>104</v>
      </c>
      <c r="C44" s="6" t="s">
        <v>96</v>
      </c>
      <c r="D44" s="6" t="str">
        <f t="shared" si="2"/>
        <v>monster1004</v>
      </c>
      <c r="E44" s="6">
        <v>500</v>
      </c>
      <c r="F44" s="6" t="s">
        <v>126</v>
      </c>
      <c r="G44" s="6">
        <f t="shared" si="3"/>
        <v>250</v>
      </c>
      <c r="H44" s="6">
        <v>9</v>
      </c>
    </row>
    <row r="45" spans="1:8" s="6" customFormat="1">
      <c r="A45" s="6">
        <v>1005</v>
      </c>
      <c r="B45" s="12" t="s">
        <v>183</v>
      </c>
      <c r="C45" s="6" t="s">
        <v>92</v>
      </c>
      <c r="D45" s="6" t="str">
        <f t="shared" si="2"/>
        <v>monster1005</v>
      </c>
      <c r="E45" s="6">
        <v>600</v>
      </c>
      <c r="F45" s="6" t="s">
        <v>126</v>
      </c>
      <c r="G45" s="6">
        <f t="shared" si="3"/>
        <v>300</v>
      </c>
      <c r="H45" s="6">
        <v>10</v>
      </c>
    </row>
    <row r="46" spans="1:8" s="6" customFormat="1">
      <c r="A46" s="6">
        <v>1006</v>
      </c>
      <c r="B46" s="12" t="s">
        <v>184</v>
      </c>
      <c r="C46" s="6" t="s">
        <v>92</v>
      </c>
      <c r="D46" s="6" t="str">
        <f t="shared" si="2"/>
        <v>monster1006</v>
      </c>
      <c r="E46" s="6">
        <v>600</v>
      </c>
      <c r="F46" s="6" t="s">
        <v>126</v>
      </c>
      <c r="G46" s="6">
        <f t="shared" si="3"/>
        <v>300</v>
      </c>
      <c r="H46" s="6">
        <v>11</v>
      </c>
    </row>
    <row r="47" spans="1:8" s="6" customFormat="1">
      <c r="A47" s="6">
        <v>1007</v>
      </c>
      <c r="B47" s="12" t="s">
        <v>185</v>
      </c>
      <c r="C47" s="6" t="s">
        <v>92</v>
      </c>
      <c r="D47" s="6" t="str">
        <f t="shared" si="2"/>
        <v>monster1007</v>
      </c>
      <c r="E47" s="6">
        <v>700</v>
      </c>
      <c r="F47" s="6" t="s">
        <v>126</v>
      </c>
      <c r="G47" s="6">
        <f t="shared" si="3"/>
        <v>350</v>
      </c>
      <c r="H47" s="6">
        <v>12</v>
      </c>
    </row>
    <row r="48" spans="1:8" s="6" customFormat="1">
      <c r="A48" s="6">
        <v>1008</v>
      </c>
      <c r="B48" s="12" t="s">
        <v>186</v>
      </c>
      <c r="C48" s="6" t="s">
        <v>92</v>
      </c>
      <c r="D48" s="6" t="str">
        <f t="shared" si="2"/>
        <v>monster1008</v>
      </c>
      <c r="E48" s="6">
        <v>700</v>
      </c>
      <c r="F48" s="6" t="s">
        <v>126</v>
      </c>
      <c r="G48" s="6">
        <f t="shared" si="3"/>
        <v>350</v>
      </c>
      <c r="H48" s="6">
        <v>13</v>
      </c>
    </row>
    <row r="49" spans="1:9" s="6" customFormat="1">
      <c r="B49" s="12"/>
    </row>
    <row r="50" spans="1:9" s="6" customFormat="1">
      <c r="B50" s="12"/>
    </row>
    <row r="51" spans="1:9" s="6" customFormat="1">
      <c r="B51" s="12"/>
    </row>
    <row r="52" spans="1:9">
      <c r="B52" s="14" t="s">
        <v>204</v>
      </c>
    </row>
    <row r="53" spans="1:9" s="6" customFormat="1">
      <c r="A53" s="6">
        <v>2001</v>
      </c>
      <c r="B53" s="12" t="s">
        <v>206</v>
      </c>
      <c r="C53" s="6" t="s">
        <v>92</v>
      </c>
      <c r="D53" s="6" t="str">
        <f t="shared" ref="D53:D54" si="4">"monster"&amp;A53</f>
        <v>monster2001</v>
      </c>
      <c r="F53" s="6" t="s">
        <v>205</v>
      </c>
      <c r="I53" s="6">
        <v>4</v>
      </c>
    </row>
    <row r="54" spans="1:9" s="6" customFormat="1">
      <c r="A54" s="6">
        <v>2002</v>
      </c>
      <c r="B54" s="12" t="s">
        <v>207</v>
      </c>
      <c r="C54" s="6" t="s">
        <v>91</v>
      </c>
      <c r="D54" s="6" t="str">
        <f t="shared" si="4"/>
        <v>monster2002</v>
      </c>
      <c r="F54" s="6" t="s">
        <v>205</v>
      </c>
      <c r="I54" s="6">
        <v>7</v>
      </c>
    </row>
    <row r="55" spans="1:9" s="6" customFormat="1">
      <c r="B55" s="12"/>
    </row>
    <row r="56" spans="1:9" s="6" customFormat="1">
      <c r="B56" s="12"/>
    </row>
    <row r="58" spans="1:9">
      <c r="A58" s="11" t="s">
        <v>83</v>
      </c>
    </row>
  </sheetData>
  <phoneticPr fontId="1" type="noConversion"/>
  <dataValidations count="1">
    <dataValidation type="list" allowBlank="1" showInputMessage="1" showErrorMessage="1" sqref="F3:F1048576" xr:uid="{83527453-F685-4A88-9105-F1B62B859E68}">
      <formula1>MonsterType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85</v>
      </c>
      <c r="C1" s="15" t="s">
        <v>86</v>
      </c>
      <c r="D1" s="7" t="s">
        <v>87</v>
      </c>
      <c r="E1" s="7" t="s">
        <v>130</v>
      </c>
      <c r="F1" s="7" t="s">
        <v>136</v>
      </c>
      <c r="G1" s="7" t="s">
        <v>137</v>
      </c>
      <c r="H1" s="7" t="s">
        <v>139</v>
      </c>
      <c r="I1" s="7" t="s">
        <v>140</v>
      </c>
    </row>
    <row r="2" spans="1:9" s="7" customFormat="1">
      <c r="A2" s="7" t="s">
        <v>80</v>
      </c>
      <c r="B2" s="7" t="s">
        <v>88</v>
      </c>
      <c r="C2" s="15" t="s">
        <v>89</v>
      </c>
      <c r="D2" s="7" t="s">
        <v>90</v>
      </c>
      <c r="E2" s="7" t="s">
        <v>131</v>
      </c>
      <c r="F2" s="7" t="s">
        <v>132</v>
      </c>
      <c r="G2" s="7" t="s">
        <v>138</v>
      </c>
      <c r="H2" s="7" t="s">
        <v>141</v>
      </c>
      <c r="I2" s="7" t="s">
        <v>142</v>
      </c>
    </row>
    <row r="3" spans="1:9">
      <c r="B3" s="12"/>
    </row>
    <row r="4" spans="1:9">
      <c r="B4" s="14" t="s">
        <v>91</v>
      </c>
    </row>
    <row r="5" spans="1:9" s="6" customFormat="1">
      <c r="A5" s="6">
        <v>1</v>
      </c>
      <c r="B5" s="12" t="s">
        <v>114</v>
      </c>
      <c r="C5" s="12" t="s">
        <v>219</v>
      </c>
      <c r="D5" s="6" t="str">
        <f>"drop"&amp;A5</f>
        <v>drop1</v>
      </c>
      <c r="E5" s="6">
        <v>30</v>
      </c>
      <c r="F5" s="6" t="s">
        <v>135</v>
      </c>
      <c r="G5" s="6">
        <v>1</v>
      </c>
    </row>
    <row r="6" spans="1:9" s="6" customFormat="1">
      <c r="A6" s="6">
        <v>2</v>
      </c>
      <c r="B6" s="12" t="s">
        <v>116</v>
      </c>
      <c r="C6" s="12" t="s">
        <v>123</v>
      </c>
      <c r="D6" s="6" t="str">
        <f t="shared" ref="D6:D17" si="0">"drop"&amp;A6</f>
        <v>drop2</v>
      </c>
      <c r="F6" s="6" t="s">
        <v>133</v>
      </c>
    </row>
    <row r="7" spans="1:9" s="6" customFormat="1">
      <c r="A7" s="6">
        <v>3</v>
      </c>
      <c r="B7" s="12" t="s">
        <v>112</v>
      </c>
      <c r="C7" s="12" t="s">
        <v>210</v>
      </c>
      <c r="D7" s="6" t="str">
        <f t="shared" si="0"/>
        <v>drop3</v>
      </c>
      <c r="F7" s="6" t="s">
        <v>203</v>
      </c>
      <c r="G7" s="6">
        <v>1</v>
      </c>
    </row>
    <row r="8" spans="1:9" s="6" customFormat="1">
      <c r="A8" s="6">
        <v>4</v>
      </c>
      <c r="B8" s="12" t="s">
        <v>177</v>
      </c>
      <c r="C8" s="12" t="s">
        <v>213</v>
      </c>
      <c r="D8" s="6" t="str">
        <f t="shared" si="0"/>
        <v>drop4</v>
      </c>
      <c r="E8" s="6">
        <v>40</v>
      </c>
      <c r="F8" s="6" t="s">
        <v>134</v>
      </c>
      <c r="G8" s="6">
        <v>2001</v>
      </c>
    </row>
    <row r="9" spans="1:9" s="6" customFormat="1">
      <c r="A9" s="6">
        <v>5</v>
      </c>
      <c r="B9" s="12" t="s">
        <v>178</v>
      </c>
      <c r="C9" s="12" t="s">
        <v>211</v>
      </c>
      <c r="D9" s="6" t="str">
        <f t="shared" si="0"/>
        <v>drop5</v>
      </c>
      <c r="F9" s="6" t="s">
        <v>181</v>
      </c>
      <c r="G9" s="6">
        <v>2</v>
      </c>
      <c r="H9" s="6">
        <v>20</v>
      </c>
    </row>
    <row r="10" spans="1:9" s="6" customFormat="1">
      <c r="A10" s="6">
        <v>6</v>
      </c>
      <c r="B10" s="12" t="s">
        <v>117</v>
      </c>
      <c r="C10" s="12" t="s">
        <v>217</v>
      </c>
      <c r="D10" s="6" t="str">
        <f t="shared" si="0"/>
        <v>drop6</v>
      </c>
      <c r="E10" s="6">
        <v>200</v>
      </c>
      <c r="F10" s="6" t="s">
        <v>187</v>
      </c>
      <c r="G10" s="6">
        <v>6</v>
      </c>
    </row>
    <row r="11" spans="1:9" s="6" customFormat="1">
      <c r="A11" s="6">
        <v>7</v>
      </c>
      <c r="B11" s="12" t="s">
        <v>118</v>
      </c>
      <c r="C11" s="12" t="s">
        <v>223</v>
      </c>
      <c r="D11" s="6" t="str">
        <f t="shared" si="0"/>
        <v>drop7</v>
      </c>
      <c r="E11" s="6">
        <v>250</v>
      </c>
      <c r="F11" s="6" t="s">
        <v>187</v>
      </c>
      <c r="G11" s="6">
        <v>7</v>
      </c>
    </row>
    <row r="12" spans="1:9" s="6" customFormat="1">
      <c r="A12" s="6">
        <v>8</v>
      </c>
      <c r="B12" s="12" t="s">
        <v>119</v>
      </c>
      <c r="C12" s="12" t="s">
        <v>215</v>
      </c>
      <c r="D12" s="6" t="str">
        <f t="shared" si="0"/>
        <v>drop8</v>
      </c>
      <c r="E12" s="6">
        <v>300</v>
      </c>
      <c r="F12" s="6" t="s">
        <v>134</v>
      </c>
      <c r="G12" s="6">
        <v>2002</v>
      </c>
    </row>
    <row r="13" spans="1:9" s="6" customFormat="1">
      <c r="A13" s="6">
        <v>9</v>
      </c>
      <c r="B13" s="12" t="s">
        <v>120</v>
      </c>
      <c r="C13" s="12" t="s">
        <v>225</v>
      </c>
      <c r="D13" s="6" t="str">
        <f t="shared" si="0"/>
        <v>drop9</v>
      </c>
      <c r="E13" s="6">
        <v>350</v>
      </c>
      <c r="F13" s="6" t="s">
        <v>135</v>
      </c>
      <c r="G13" s="6">
        <v>9</v>
      </c>
    </row>
    <row r="14" spans="1:9" s="6" customFormat="1">
      <c r="A14" s="6">
        <v>10</v>
      </c>
      <c r="B14" s="12" t="s">
        <v>179</v>
      </c>
      <c r="C14" s="12" t="s">
        <v>221</v>
      </c>
      <c r="D14" s="6" t="str">
        <f t="shared" si="0"/>
        <v>drop10</v>
      </c>
      <c r="E14" s="6">
        <v>200</v>
      </c>
      <c r="F14" s="6" t="s">
        <v>187</v>
      </c>
      <c r="G14" s="6">
        <v>10</v>
      </c>
    </row>
    <row r="15" spans="1:9" s="6" customFormat="1">
      <c r="A15" s="6">
        <v>11</v>
      </c>
      <c r="B15" s="12" t="s">
        <v>180</v>
      </c>
      <c r="C15" s="12" t="s">
        <v>227</v>
      </c>
      <c r="D15" s="6" t="str">
        <f t="shared" si="0"/>
        <v>drop11</v>
      </c>
      <c r="E15" s="6">
        <v>250</v>
      </c>
      <c r="F15" s="6" t="s">
        <v>187</v>
      </c>
      <c r="G15" s="6">
        <v>11</v>
      </c>
    </row>
    <row r="16" spans="1:9" s="6" customFormat="1">
      <c r="A16" s="6">
        <v>12</v>
      </c>
      <c r="B16" s="12" t="s">
        <v>201</v>
      </c>
      <c r="C16" s="12" t="s">
        <v>229</v>
      </c>
      <c r="D16" s="6" t="str">
        <f t="shared" si="0"/>
        <v>drop12</v>
      </c>
      <c r="E16" s="6">
        <v>300</v>
      </c>
      <c r="F16" s="6" t="s">
        <v>187</v>
      </c>
      <c r="G16" s="6">
        <v>12</v>
      </c>
    </row>
    <row r="17" spans="1:7" s="6" customFormat="1">
      <c r="A17" s="6">
        <v>13</v>
      </c>
      <c r="B17" s="12" t="s">
        <v>202</v>
      </c>
      <c r="C17" s="12" t="s">
        <v>231</v>
      </c>
      <c r="D17" s="6" t="str">
        <f t="shared" si="0"/>
        <v>drop13</v>
      </c>
      <c r="E17" s="6">
        <v>350</v>
      </c>
      <c r="F17" s="6" t="s">
        <v>187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9" sqref="C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85</v>
      </c>
      <c r="C1" s="7" t="s">
        <v>86</v>
      </c>
      <c r="D1" s="7" t="s">
        <v>188</v>
      </c>
      <c r="E1" s="7" t="s">
        <v>189</v>
      </c>
      <c r="F1" s="7" t="s">
        <v>190</v>
      </c>
    </row>
    <row r="2" spans="1:6" s="7" customFormat="1">
      <c r="A2" s="7" t="s">
        <v>80</v>
      </c>
      <c r="B2" s="7" t="s">
        <v>88</v>
      </c>
      <c r="C2" s="7" t="s">
        <v>89</v>
      </c>
      <c r="D2" s="7" t="s">
        <v>191</v>
      </c>
      <c r="E2" s="7" t="s">
        <v>192</v>
      </c>
      <c r="F2" s="7" t="s">
        <v>193</v>
      </c>
    </row>
    <row r="3" spans="1:6">
      <c r="B3" s="12"/>
    </row>
    <row r="4" spans="1:6" s="6" customFormat="1">
      <c r="A4" s="6">
        <v>1</v>
      </c>
      <c r="B4" s="12" t="s">
        <v>195</v>
      </c>
      <c r="C4" s="16" t="s">
        <v>218</v>
      </c>
      <c r="D4" s="6">
        <v>3</v>
      </c>
      <c r="E4" s="6" t="s">
        <v>194</v>
      </c>
    </row>
    <row r="5" spans="1:6" s="6" customFormat="1">
      <c r="A5" s="6">
        <v>4</v>
      </c>
      <c r="B5" s="12" t="s">
        <v>208</v>
      </c>
      <c r="C5" s="16" t="s">
        <v>212</v>
      </c>
      <c r="D5" s="6">
        <v>2</v>
      </c>
      <c r="E5" s="6" t="s">
        <v>194</v>
      </c>
    </row>
    <row r="6" spans="1:6" s="6" customFormat="1">
      <c r="A6" s="6">
        <v>6</v>
      </c>
      <c r="B6" s="12" t="s">
        <v>196</v>
      </c>
      <c r="C6" s="16" t="s">
        <v>216</v>
      </c>
      <c r="D6" s="6">
        <v>200</v>
      </c>
    </row>
    <row r="7" spans="1:6" s="6" customFormat="1">
      <c r="A7" s="6">
        <v>7</v>
      </c>
      <c r="B7" s="12" t="s">
        <v>209</v>
      </c>
      <c r="C7" s="16" t="s">
        <v>222</v>
      </c>
      <c r="D7" s="6">
        <v>250</v>
      </c>
      <c r="E7" s="6" t="s">
        <v>194</v>
      </c>
    </row>
    <row r="8" spans="1:6" s="6" customFormat="1">
      <c r="A8" s="6">
        <v>8</v>
      </c>
      <c r="B8" s="12" t="s">
        <v>197</v>
      </c>
      <c r="C8" s="16" t="s">
        <v>214</v>
      </c>
      <c r="D8" s="6">
        <v>300</v>
      </c>
    </row>
    <row r="9" spans="1:6" s="6" customFormat="1">
      <c r="A9" s="6">
        <v>9</v>
      </c>
      <c r="B9" s="12" t="s">
        <v>198</v>
      </c>
      <c r="C9" s="16" t="s">
        <v>224</v>
      </c>
      <c r="D9" s="6">
        <v>350</v>
      </c>
    </row>
    <row r="10" spans="1:6">
      <c r="A10" s="6">
        <v>10</v>
      </c>
      <c r="B10" s="12" t="s">
        <v>199</v>
      </c>
      <c r="C10" s="16" t="s">
        <v>220</v>
      </c>
      <c r="D10" s="6">
        <v>200</v>
      </c>
    </row>
    <row r="11" spans="1:6" s="6" customFormat="1">
      <c r="A11" s="6">
        <v>11</v>
      </c>
      <c r="B11" s="12" t="s">
        <v>200</v>
      </c>
      <c r="C11" s="16" t="s">
        <v>226</v>
      </c>
      <c r="D11" s="6">
        <v>250</v>
      </c>
    </row>
    <row r="12" spans="1:6" s="6" customFormat="1">
      <c r="A12" s="6">
        <v>12</v>
      </c>
      <c r="B12" s="12" t="s">
        <v>201</v>
      </c>
      <c r="C12" s="16" t="s">
        <v>228</v>
      </c>
      <c r="D12" s="6">
        <v>300</v>
      </c>
    </row>
    <row r="13" spans="1:6" s="6" customFormat="1">
      <c r="A13" s="6">
        <v>13</v>
      </c>
      <c r="B13" s="12" t="s">
        <v>202</v>
      </c>
      <c r="C13" s="16" t="s">
        <v>230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15"/>
  <sheetViews>
    <sheetView workbookViewId="0">
      <selection activeCell="A10" sqref="A10:A1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</cols>
  <sheetData>
    <row r="1" spans="1:6">
      <c r="A1" s="10" t="s">
        <v>82</v>
      </c>
      <c r="B1" s="13" t="s">
        <v>84</v>
      </c>
    </row>
    <row r="2" spans="1:6">
      <c r="A2" s="2"/>
    </row>
    <row r="6" spans="1:6">
      <c r="A6" s="2"/>
    </row>
    <row r="9" spans="1:6" ht="16.5">
      <c r="A9" s="3" t="s">
        <v>286</v>
      </c>
      <c r="B9" s="3" t="s">
        <v>76</v>
      </c>
      <c r="C9" s="3" t="s">
        <v>93</v>
      </c>
      <c r="D9" s="3" t="s">
        <v>76</v>
      </c>
      <c r="E9" s="3" t="s">
        <v>145</v>
      </c>
      <c r="F9" s="3" t="s">
        <v>76</v>
      </c>
    </row>
    <row r="10" spans="1:6">
      <c r="A10" t="s">
        <v>125</v>
      </c>
      <c r="B10" s="9" t="s">
        <v>128</v>
      </c>
      <c r="D10" s="9"/>
      <c r="E10" t="s">
        <v>146</v>
      </c>
      <c r="F10" s="9" t="s">
        <v>283</v>
      </c>
    </row>
    <row r="11" spans="1:6">
      <c r="A11" t="s">
        <v>127</v>
      </c>
      <c r="B11" t="s">
        <v>129</v>
      </c>
      <c r="D11" s="9"/>
      <c r="E11" t="s">
        <v>127</v>
      </c>
      <c r="F11" t="s">
        <v>282</v>
      </c>
    </row>
    <row r="12" spans="1:6">
      <c r="A12" t="s">
        <v>134</v>
      </c>
      <c r="B12" t="s">
        <v>204</v>
      </c>
      <c r="E12" t="s">
        <v>281</v>
      </c>
      <c r="F12" t="s">
        <v>284</v>
      </c>
    </row>
    <row r="15" spans="1:6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MonsterSpawner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2023-07-28T03:09:27Z</dcterms:modified>
</cp:coreProperties>
</file>