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529" codeName="{5022B3EB-BCE5-7840-4BB8-8062D341818C}"/>
  <workbookPr codeName="ThisWorkbook"/>
  <mc:AlternateContent xmlns:mc="http://schemas.openxmlformats.org/markup-compatibility/2006">
    <mc:Choice Requires="x15">
      <x15ac:absPath xmlns:x15ac="http://schemas.microsoft.com/office/spreadsheetml/2010/11/ac" url="D:\HeroFishing\Design\"/>
    </mc:Choice>
  </mc:AlternateContent>
  <xr:revisionPtr revIDLastSave="0" documentId="13_ncr:1_{38FF8608-21B9-4B5F-BC78-C53CFA6A7750}" xr6:coauthVersionLast="47" xr6:coauthVersionMax="47" xr10:uidLastSave="{00000000-0000-0000-0000-000000000000}"/>
  <bookViews>
    <workbookView xWindow="-120" yWindow="-120" windowWidth="29040" windowHeight="15720" activeTab="1" xr2:uid="{00000000-000D-0000-FFFF-FFFF00000000}"/>
  </bookViews>
  <sheets>
    <sheet name="Map" sheetId="1" r:id="rId1"/>
    <sheet name="MonsterSpawner" sheetId="10" r:id="rId2"/>
    <sheet name="Monster" sheetId="8" r:id="rId3"/>
    <sheet name="Drop" sheetId="9" r:id="rId4"/>
    <sheet name="BuffSkill" sheetId="11" r:id="rId5"/>
    <sheet name="Info" sheetId="6" r:id="rId6"/>
    <sheet name="Setting" sheetId="7" r:id="rId7"/>
  </sheets>
  <functionGroups builtInGroupCount="19"/>
  <definedNames>
    <definedName name="MonsterType">OFFSET(Setting!$A$10:$A$29,,,COUNTA(Setting!$A$10:$A$29))</definedName>
    <definedName name="SpawnType">OFFSET(Setting!$E$10:$E$29,,,COUNTA(Setting!$E$10:$E$29))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G36" i="8" l="1"/>
  <c r="G35" i="8"/>
  <c r="G34" i="8"/>
  <c r="G33" i="8"/>
  <c r="G32" i="8"/>
  <c r="G31" i="8"/>
  <c r="G30" i="8"/>
  <c r="G29" i="8"/>
  <c r="G28" i="8"/>
  <c r="G27" i="8"/>
  <c r="G26" i="8"/>
  <c r="G25" i="8"/>
  <c r="G24" i="8"/>
  <c r="G23" i="8"/>
  <c r="G22" i="8"/>
  <c r="G21" i="8"/>
  <c r="G20" i="8"/>
  <c r="G19" i="8"/>
  <c r="G18" i="8"/>
  <c r="G17" i="8"/>
  <c r="G16" i="8"/>
  <c r="G15" i="8"/>
  <c r="G14" i="8"/>
  <c r="G13" i="8"/>
  <c r="G12" i="8"/>
  <c r="G11" i="8"/>
  <c r="G10" i="8"/>
  <c r="G9" i="8"/>
  <c r="G8" i="8"/>
  <c r="G7" i="8"/>
  <c r="G6" i="8"/>
  <c r="D6" i="8"/>
  <c r="D7" i="8"/>
  <c r="D8" i="8"/>
  <c r="D9" i="8"/>
  <c r="D10" i="8"/>
  <c r="D11" i="8"/>
  <c r="D12" i="8"/>
  <c r="D13" i="8"/>
  <c r="D14" i="8"/>
  <c r="D15" i="8"/>
  <c r="D16" i="8"/>
  <c r="D17" i="8"/>
  <c r="D18" i="8"/>
  <c r="D19" i="8"/>
  <c r="D20" i="8"/>
  <c r="D21" i="8"/>
  <c r="D22" i="8"/>
  <c r="D23" i="8"/>
  <c r="D24" i="8"/>
  <c r="D25" i="8"/>
  <c r="D26" i="8"/>
  <c r="D27" i="8"/>
  <c r="D28" i="8"/>
  <c r="D29" i="8"/>
  <c r="D30" i="8"/>
  <c r="D31" i="8"/>
  <c r="D32" i="8"/>
  <c r="D33" i="8"/>
  <c r="D34" i="8"/>
  <c r="D35" i="8"/>
  <c r="D36" i="8"/>
  <c r="G5" i="8"/>
  <c r="G48" i="8"/>
  <c r="G47" i="8"/>
  <c r="G46" i="8"/>
  <c r="G45" i="8"/>
  <c r="G44" i="8"/>
  <c r="G43" i="8"/>
  <c r="G42" i="8"/>
  <c r="G41" i="8"/>
  <c r="D48" i="8"/>
  <c r="D47" i="8"/>
  <c r="D46" i="8"/>
  <c r="D45" i="8"/>
  <c r="D54" i="8"/>
  <c r="D53" i="8"/>
  <c r="D6" i="9"/>
  <c r="D7" i="9"/>
  <c r="D8" i="9"/>
  <c r="D9" i="9"/>
  <c r="D10" i="9"/>
  <c r="D11" i="9"/>
  <c r="D12" i="9"/>
  <c r="D13" i="9"/>
  <c r="D14" i="9"/>
  <c r="D15" i="9"/>
  <c r="D16" i="9"/>
  <c r="D17" i="9"/>
  <c r="D5" i="9"/>
  <c r="D44" i="8"/>
  <c r="D43" i="8"/>
  <c r="D42" i="8"/>
  <c r="D41" i="8"/>
  <c r="D5" i="8"/>
</calcChain>
</file>

<file path=xl/sharedStrings.xml><?xml version="1.0" encoding="utf-8"?>
<sst xmlns="http://schemas.openxmlformats.org/spreadsheetml/2006/main" count="534" uniqueCount="289">
  <si>
    <t>欄位</t>
    <phoneticPr fontId="1" type="noConversion"/>
  </si>
  <si>
    <t>物理傷害</t>
  </si>
  <si>
    <t>魔法傷害</t>
  </si>
  <si>
    <t>物理防禦</t>
  </si>
  <si>
    <t>魔法防禦</t>
  </si>
  <si>
    <t>魔力</t>
  </si>
  <si>
    <t>物理穿透</t>
  </si>
  <si>
    <t>魔法穿透</t>
  </si>
  <si>
    <t>爆擊機率</t>
  </si>
  <si>
    <t>攻擊範圍(顯示用)</t>
  </si>
  <si>
    <t>每五秒回血</t>
  </si>
  <si>
    <t>每五秒回魔</t>
  </si>
  <si>
    <t>顯示角色推薦職業</t>
    <phoneticPr fontId="1" type="noConversion"/>
  </si>
  <si>
    <t>1.坦克</t>
    <phoneticPr fontId="1" type="noConversion"/>
  </si>
  <si>
    <t>2.鬥士</t>
    <phoneticPr fontId="1" type="noConversion"/>
  </si>
  <si>
    <t>3.輔助</t>
    <phoneticPr fontId="1" type="noConversion"/>
  </si>
  <si>
    <t>4.射手</t>
    <phoneticPr fontId="1" type="noConversion"/>
  </si>
  <si>
    <t>5.刺客</t>
    <phoneticPr fontId="1" type="noConversion"/>
  </si>
  <si>
    <t>6.打野</t>
    <phoneticPr fontId="1" type="noConversion"/>
  </si>
  <si>
    <t>7.法師</t>
    <phoneticPr fontId="1" type="noConversion"/>
  </si>
  <si>
    <t>8.近戰</t>
    <phoneticPr fontId="1" type="noConversion"/>
  </si>
  <si>
    <t>9.遠程</t>
    <phoneticPr fontId="1" type="noConversion"/>
  </si>
  <si>
    <t>string</t>
    <phoneticPr fontId="1" type="noConversion"/>
  </si>
  <si>
    <t>characteristic_1</t>
  </si>
  <si>
    <t>characteristic_2</t>
  </si>
  <si>
    <t>Tenacity</t>
  </si>
  <si>
    <t>Range</t>
  </si>
  <si>
    <t>爆擊倍率</t>
  </si>
  <si>
    <t>HP</t>
  </si>
  <si>
    <t>ATK</t>
  </si>
  <si>
    <t>M_ATK</t>
  </si>
  <si>
    <t>DEF</t>
  </si>
  <si>
    <t>M_DEF</t>
  </si>
  <si>
    <t>MP</t>
  </si>
  <si>
    <t>ATK_SPD</t>
  </si>
  <si>
    <t>普攻吸血</t>
  </si>
  <si>
    <t>普攻吸魔</t>
  </si>
  <si>
    <t>生命</t>
  </si>
  <si>
    <t>跑速</t>
  </si>
  <si>
    <t>攻速</t>
  </si>
  <si>
    <t>韌性</t>
  </si>
  <si>
    <t>Crit_Chance</t>
  </si>
  <si>
    <t>Crit_Damage</t>
  </si>
  <si>
    <t>Pearce</t>
  </si>
  <si>
    <t>M_Pearce</t>
  </si>
  <si>
    <t>Move_Speed</t>
  </si>
  <si>
    <t>Life_Steal</t>
  </si>
  <si>
    <t>Mana_Steal</t>
  </si>
  <si>
    <t>Health_Regen</t>
  </si>
  <si>
    <t>Mana_Regen</t>
  </si>
  <si>
    <t>角色特性1</t>
  </si>
  <si>
    <t>角色特性2</t>
  </si>
  <si>
    <t>顯示[角色LV1生命,角色LvMax生命]，由程式自動抓值</t>
  </si>
  <si>
    <t>顯示[角色LV1物理傷害,角色LvMax物理傷害]，由程式自動抓值</t>
  </si>
  <si>
    <t>顯示[角色LV1魔法傷害,角色LvMax魔法傷害]，由程式自動抓值</t>
  </si>
  <si>
    <t>顯示[角色LV1物理防禦,角色LvMax物理防禦]，由程式自動抓值</t>
  </si>
  <si>
    <t>顯示[角色LV1魔法防禦,角色LvMax魔法防禦]，由程式自動抓值</t>
  </si>
  <si>
    <t>顯示[角色LV1魔力,角色LvMaxMP]，由程式自動抓值</t>
  </si>
  <si>
    <t>顯示[角色LV1基礎跑速,角色LvMax基礎跑速]，由程式自動抓值</t>
  </si>
  <si>
    <t>顯示[角色LV1基礎攻速,角色LvMax基礎攻速]，由程式自動抓值</t>
  </si>
  <si>
    <t>顯示[角色LV1物理穿透,角色LvMax物理穿透]，由程式自動抓值</t>
  </si>
  <si>
    <t>顯示[角色LV1物理吸血,角色LvMax物理吸血]，由程式自動抓值</t>
  </si>
  <si>
    <t>顯示[角色LV1魔法穿透,角色LvMax魔法穿透]，由程式自動抓值</t>
  </si>
  <si>
    <t>顯示[角色LV1魔法吸血,角色LvMax魔法吸血]，由程式自動抓值</t>
  </si>
  <si>
    <t>顯示[角色LV1爆擊機率,角色LvMax爆擊機率]，由程式自動抓值</t>
  </si>
  <si>
    <t>顯示[角色LV1爆擊效果,角色LvMax爆擊效果]，由程式自動抓值</t>
  </si>
  <si>
    <t>顯示[角色LV1攻擊範圍,角色LvMax攻擊範圍]，由程式自動抓值</t>
  </si>
  <si>
    <t>顯示[角色LV1基礎韌性,角色LvMax韌性]，由程式自動抓值</t>
  </si>
  <si>
    <t>顯示[角色LV1生命回復,角色LvMax生命回復]，由程式自動抓值</t>
  </si>
  <si>
    <t>顯示[角色LV1魔力回復,角色LvMax魔力回復]，由程式自動抓值</t>
  </si>
  <si>
    <t>表格基本規則</t>
    <phoneticPr fontId="1" type="noConversion"/>
  </si>
  <si>
    <r>
      <t>※第一欄</t>
    </r>
    <r>
      <rPr>
        <b/>
        <sz val="12"/>
        <color rgb="FFFF0000"/>
        <rFont val="新細明體"/>
        <family val="1"/>
        <charset val="136"/>
        <scheme val="minor"/>
      </rPr>
      <t>輸出Json位置在Setting中設定</t>
    </r>
    <phoneticPr fontId="1" type="noConversion"/>
  </si>
  <si>
    <r>
      <t>※輸出的</t>
    </r>
    <r>
      <rPr>
        <b/>
        <sz val="12"/>
        <color rgb="FFFF0000"/>
        <rFont val="新細明體"/>
        <family val="1"/>
        <charset val="136"/>
        <scheme val="minor"/>
      </rPr>
      <t>Json檔名是抓取所在頁籤的名稱</t>
    </r>
    <phoneticPr fontId="1" type="noConversion"/>
  </si>
  <si>
    <r>
      <t>※第一欄</t>
    </r>
    <r>
      <rPr>
        <b/>
        <sz val="12"/>
        <color rgb="FFFF0000"/>
        <rFont val="新細明體"/>
        <family val="1"/>
        <charset val="136"/>
        <scheme val="minor"/>
      </rPr>
      <t>ID為空時該列不會寫入</t>
    </r>
    <phoneticPr fontId="1" type="noConversion"/>
  </si>
  <si>
    <r>
      <t xml:space="preserve">※第一列的資料名稱若 </t>
    </r>
    <r>
      <rPr>
        <b/>
        <sz val="12"/>
        <color rgb="FFFF0000"/>
        <rFont val="新細明體"/>
        <family val="1"/>
        <charset val="136"/>
        <scheme val="minor"/>
      </rPr>
      <t>以底線結尾，該筆資料不會寫入</t>
    </r>
    <phoneticPr fontId="1" type="noConversion"/>
  </si>
  <si>
    <r>
      <t>※第一欄</t>
    </r>
    <r>
      <rPr>
        <b/>
        <sz val="12"/>
        <color rgb="FFFF0000"/>
        <rFont val="新細明體"/>
        <family val="1"/>
        <charset val="136"/>
        <scheme val="minor"/>
      </rPr>
      <t>End之後的資料不會寫入</t>
    </r>
    <phoneticPr fontId="1" type="noConversion"/>
  </si>
  <si>
    <t>說明</t>
    <phoneticPr fontId="1" type="noConversion"/>
  </si>
  <si>
    <t>資料格式</t>
    <phoneticPr fontId="1" type="noConversion"/>
  </si>
  <si>
    <t>中文名稱</t>
    <phoneticPr fontId="1" type="noConversion"/>
  </si>
  <si>
    <t>ID</t>
    <phoneticPr fontId="1" type="noConversion"/>
  </si>
  <si>
    <t>編號</t>
    <phoneticPr fontId="1" type="noConversion"/>
  </si>
  <si>
    <t>Object</t>
    <phoneticPr fontId="1" type="noConversion"/>
  </si>
  <si>
    <t>輸出Json</t>
  </si>
  <si>
    <t>End</t>
    <phoneticPr fontId="1" type="noConversion"/>
  </si>
  <si>
    <t>\HeroFishing\Assets\AddressableAssets\Json\</t>
  </si>
  <si>
    <t>Name_</t>
  </si>
  <si>
    <t>Description_</t>
  </si>
  <si>
    <t>Ref</t>
  </si>
  <si>
    <t>名稱</t>
  </si>
  <si>
    <t>說明</t>
  </si>
  <si>
    <t>參考</t>
  </si>
  <si>
    <t>LOL</t>
    <phoneticPr fontId="1" type="noConversion"/>
  </si>
  <si>
    <t>DOTA2</t>
    <phoneticPr fontId="1" type="noConversion"/>
  </si>
  <si>
    <t>SkillCategory</t>
    <phoneticPr fontId="1" type="noConversion"/>
  </si>
  <si>
    <t>倍率</t>
    <phoneticPr fontId="1" type="noConversion"/>
  </si>
  <si>
    <t>Multiplier</t>
    <phoneticPr fontId="1" type="noConversion"/>
  </si>
  <si>
    <t>LOL</t>
  </si>
  <si>
    <t>石棱河灣</t>
  </si>
  <si>
    <t>峽谷先鋒</t>
  </si>
  <si>
    <t>DOTA2</t>
  </si>
  <si>
    <t>元素亞龍</t>
  </si>
  <si>
    <t>咆嘯深淵</t>
  </si>
  <si>
    <t>遠古巨龍</t>
  </si>
  <si>
    <t>虛空裂縫</t>
  </si>
  <si>
    <t>納什男爵</t>
  </si>
  <si>
    <t>map1</t>
    <phoneticPr fontId="1" type="noConversion"/>
  </si>
  <si>
    <t>怪物IDs</t>
    <phoneticPr fontId="1" type="noConversion"/>
  </si>
  <si>
    <t>MonsterIDs</t>
    <phoneticPr fontId="1" type="noConversion"/>
  </si>
  <si>
    <t>鋒喙鳥</t>
  </si>
  <si>
    <t>巨型鋒喙鳥</t>
  </si>
  <si>
    <t>巨型石甲蟲</t>
  </si>
  <si>
    <t>巨型暗影狼</t>
  </si>
  <si>
    <t>泉源</t>
  </si>
  <si>
    <t>紅樹怪</t>
  </si>
  <si>
    <t>餘燼之冠</t>
  </si>
  <si>
    <t>藍魔像</t>
  </si>
  <si>
    <t>洞察之冠</t>
  </si>
  <si>
    <t>先鋒之眼</t>
  </si>
  <si>
    <t>巨龍魂</t>
  </si>
  <si>
    <t>遠古龍魂</t>
  </si>
  <si>
    <t>男爵之手</t>
  </si>
  <si>
    <t>經驗</t>
    <phoneticPr fontId="1" type="noConversion"/>
  </si>
  <si>
    <t>EXP</t>
    <phoneticPr fontId="1" type="noConversion"/>
  </si>
  <si>
    <t>全技能充滿能</t>
  </si>
  <si>
    <t>Minion</t>
  </si>
  <si>
    <t>Minion</t>
    <phoneticPr fontId="1" type="noConversion"/>
  </si>
  <si>
    <t>Boss</t>
  </si>
  <si>
    <t>Boss</t>
    <phoneticPr fontId="1" type="noConversion"/>
  </si>
  <si>
    <t>小怪</t>
    <phoneticPr fontId="1" type="noConversion"/>
  </si>
  <si>
    <t>頭目 出現會有演出</t>
    <phoneticPr fontId="1" type="noConversion"/>
  </si>
  <si>
    <t>GainRTP</t>
    <phoneticPr fontId="1" type="noConversion"/>
  </si>
  <si>
    <t>獲得RTP</t>
    <phoneticPr fontId="1" type="noConversion"/>
  </si>
  <si>
    <t>效果名稱</t>
    <phoneticPr fontId="1" type="noConversion"/>
  </si>
  <si>
    <t>FullSkillEnergy</t>
    <phoneticPr fontId="1" type="noConversion"/>
  </si>
  <si>
    <t>Summon</t>
    <phoneticPr fontId="1" type="noConversion"/>
  </si>
  <si>
    <t>ReplaceAttack</t>
    <phoneticPr fontId="1" type="noConversion"/>
  </si>
  <si>
    <t>EffectType</t>
    <phoneticPr fontId="1" type="noConversion"/>
  </si>
  <si>
    <t>EffectValue1</t>
    <phoneticPr fontId="1" type="noConversion"/>
  </si>
  <si>
    <t>效果參數1</t>
    <phoneticPr fontId="1" type="noConversion"/>
  </si>
  <si>
    <t>EffectValue2</t>
  </si>
  <si>
    <t>EffectValue3</t>
  </si>
  <si>
    <t>效果參數2</t>
  </si>
  <si>
    <t>效果參數3</t>
  </si>
  <si>
    <t>出怪頻率(秒)</t>
    <phoneticPr fontId="1" type="noConversion"/>
  </si>
  <si>
    <t>出怪類型</t>
    <phoneticPr fontId="1" type="noConversion"/>
  </si>
  <si>
    <t>SpawnType</t>
    <phoneticPr fontId="1" type="noConversion"/>
  </si>
  <si>
    <t>All</t>
    <phoneticPr fontId="1" type="noConversion"/>
  </si>
  <si>
    <t>薩滿部落</t>
  </si>
  <si>
    <t>風暴山丘</t>
  </si>
  <si>
    <t>巨石峰</t>
  </si>
  <si>
    <t>地城遺跡</t>
  </si>
  <si>
    <t>遠古巢穴</t>
  </si>
  <si>
    <t>怪物</t>
    <phoneticPr fontId="1" type="noConversion"/>
  </si>
  <si>
    <t>石甲蟲</t>
  </si>
  <si>
    <t>暗影狼</t>
  </si>
  <si>
    <t>鬼魂</t>
  </si>
  <si>
    <t>狗頭人</t>
  </si>
  <si>
    <t>鷹身女妖偵察者</t>
  </si>
  <si>
    <t>豺狼人刺客</t>
  </si>
  <si>
    <t>巨魔牧師</t>
  </si>
  <si>
    <t>巨狼</t>
  </si>
  <si>
    <t>半人馬獵手</t>
  </si>
  <si>
    <t>梟獸</t>
  </si>
  <si>
    <t>岩石傀儡</t>
  </si>
  <si>
    <t>鷹身女妖風暴巫師</t>
  </si>
  <si>
    <t>頭狼</t>
  </si>
  <si>
    <t>食人魔拳手</t>
  </si>
  <si>
    <t>食人魔冰霜法師</t>
  </si>
  <si>
    <t>地獄熊怪粉碎者</t>
  </si>
  <si>
    <t>梟獸撕裂者</t>
  </si>
  <si>
    <t>狗頭人王</t>
  </si>
  <si>
    <t>巨魔狂戰士</t>
  </si>
  <si>
    <t>魔沼蛙</t>
  </si>
  <si>
    <t>峽谷迅捷蟹</t>
  </si>
  <si>
    <t>薩特竊神者</t>
  </si>
  <si>
    <t>半人馬征服者</t>
  </si>
  <si>
    <t>黑暗巨魔召喚法師</t>
  </si>
  <si>
    <t>幻象神符</t>
  </si>
  <si>
    <t>急速神符</t>
  </si>
  <si>
    <t>祖靈重踏</t>
  </si>
  <si>
    <t>喚雷石</t>
  </si>
  <si>
    <t>AttackSpeedUP</t>
    <phoneticPr fontId="1" type="noConversion"/>
  </si>
  <si>
    <t>頭目</t>
    <phoneticPr fontId="1" type="noConversion"/>
  </si>
  <si>
    <t>遠古薩滿潛行者</t>
  </si>
  <si>
    <t>遠古雷膚獸</t>
  </si>
  <si>
    <t>遠古花崗石傀儡</t>
  </si>
  <si>
    <t>肉山</t>
  </si>
  <si>
    <t>BuffSkill</t>
  </si>
  <si>
    <t>RTP</t>
    <phoneticPr fontId="1" type="noConversion"/>
  </si>
  <si>
    <t>Motion</t>
    <phoneticPr fontId="1" type="noConversion"/>
  </si>
  <si>
    <t>Voice</t>
    <phoneticPr fontId="1" type="noConversion"/>
  </si>
  <si>
    <t>期望值</t>
    <phoneticPr fontId="1" type="noConversion"/>
  </si>
  <si>
    <t>動作</t>
    <phoneticPr fontId="1" type="noConversion"/>
  </si>
  <si>
    <t>語音</t>
    <phoneticPr fontId="1" type="noConversion"/>
  </si>
  <si>
    <t>attack1,attack2</t>
    <phoneticPr fontId="1" type="noConversion"/>
  </si>
  <si>
    <t>餘燼之冠</t>
    <phoneticPr fontId="1" type="noConversion"/>
  </si>
  <si>
    <t>先鋒之眼</t>
    <phoneticPr fontId="1" type="noConversion"/>
  </si>
  <si>
    <t>遠古龍魂</t>
    <phoneticPr fontId="1" type="noConversion"/>
  </si>
  <si>
    <t>男爵之手</t>
    <phoneticPr fontId="1" type="noConversion"/>
  </si>
  <si>
    <t>祖靈重踏</t>
    <phoneticPr fontId="1" type="noConversion"/>
  </si>
  <si>
    <t>喚雷石</t>
    <phoneticPr fontId="1" type="noConversion"/>
  </si>
  <si>
    <t>巨石落</t>
    <phoneticPr fontId="1" type="noConversion"/>
  </si>
  <si>
    <t>肉山重擊</t>
    <phoneticPr fontId="1" type="noConversion"/>
  </si>
  <si>
    <t>HeroLevelUP</t>
    <phoneticPr fontId="1" type="noConversion"/>
  </si>
  <si>
    <t>召喚</t>
    <phoneticPr fontId="1" type="noConversion"/>
  </si>
  <si>
    <t>Summon</t>
  </si>
  <si>
    <t>幻象巨魔</t>
    <phoneticPr fontId="1" type="noConversion"/>
  </si>
  <si>
    <t>巨龍魂</t>
    <phoneticPr fontId="1" type="noConversion"/>
  </si>
  <si>
    <t>幻象巨魔攻擊</t>
    <phoneticPr fontId="1" type="noConversion"/>
  </si>
  <si>
    <t>巨龍魂攻擊</t>
    <phoneticPr fontId="1" type="noConversion"/>
  </si>
  <si>
    <t>英雄升1級</t>
    <phoneticPr fontId="1" type="noConversion"/>
  </si>
  <si>
    <t>英雄攻擊速度x2，持續20秒</t>
    <phoneticPr fontId="1" type="noConversion"/>
  </si>
  <si>
    <t>(召喚)召喚幻象巨魔在旁邊協助攻擊(RTP為2，攻擊20次)</t>
  </si>
  <si>
    <t>(召喚)召喚幻象巨魔在旁邊協助攻擊(RTP為2，攻擊20次)</t>
    <phoneticPr fontId="1" type="noConversion"/>
  </si>
  <si>
    <t>(技能)召喚遠古巨龍朝目標噴巨大火球 RTP為300</t>
  </si>
  <si>
    <t>(技能)召喚遠古巨龍朝目標噴巨大火球 RTP為300</t>
    <phoneticPr fontId="1" type="noConversion"/>
  </si>
  <si>
    <t>(技能)召喚峽谷先鋒衝撞路徑上的怪 RTP為200</t>
  </si>
  <si>
    <t>(技能)召喚峽谷先鋒衝撞路徑上的怪 RTP為200</t>
    <phoneticPr fontId="1" type="noConversion"/>
  </si>
  <si>
    <t>(取代普攻)下10次普通攻擊RTP為3</t>
  </si>
  <si>
    <t>(取代普攻)下10次普通攻擊RTP為3</t>
    <phoneticPr fontId="1" type="noConversion"/>
  </si>
  <si>
    <t>(技能)使用祖靈之力重踏地面 RTP為200</t>
  </si>
  <si>
    <t>(技能)使用祖靈之力重踏地面 RTP為200</t>
    <phoneticPr fontId="1" type="noConversion"/>
  </si>
  <si>
    <t>(召喚)召喚巨龍魂在旁邊協助攻擊(RTP為10，攻擊25次)</t>
  </si>
  <si>
    <t>(召喚)召喚巨龍魂在旁邊協助攻擊(RTP為10，攻擊25次)</t>
    <phoneticPr fontId="1" type="noConversion"/>
  </si>
  <si>
    <t>(取代普攻)下10次普通攻擊RTP為35</t>
  </si>
  <si>
    <t>(取代普攻)下10次普通攻擊RTP為35</t>
    <phoneticPr fontId="1" type="noConversion"/>
  </si>
  <si>
    <t>(技能)使用雷之力發動連鎖閃電 RTP為250</t>
  </si>
  <si>
    <t>(技能)使用雷之力發動連鎖閃電 RTP為250</t>
    <phoneticPr fontId="1" type="noConversion"/>
  </si>
  <si>
    <t>(技能)召喚大量落石 RTP為300</t>
  </si>
  <si>
    <t>(技能)召喚大量落石 RTP為300</t>
    <phoneticPr fontId="1" type="noConversion"/>
  </si>
  <si>
    <t>(技能)以肉山之力猛砸地面 RTP為350</t>
  </si>
  <si>
    <t>(技能)以肉山之力猛砸地面 RTP為350</t>
    <phoneticPr fontId="1" type="noConversion"/>
  </si>
  <si>
    <t>SummonSkillID</t>
    <phoneticPr fontId="1" type="noConversion"/>
  </si>
  <si>
    <t>召喚物攻擊ID</t>
    <phoneticPr fontId="1" type="noConversion"/>
  </si>
  <si>
    <t>怪物群</t>
    <phoneticPr fontId="1" type="noConversion"/>
  </si>
  <si>
    <t>地獄熊怪</t>
  </si>
  <si>
    <t>薩特苦難使者</t>
  </si>
  <si>
    <t>DropIDs</t>
    <phoneticPr fontId="1" type="noConversion"/>
  </si>
  <si>
    <t>掉落IDs</t>
    <phoneticPr fontId="1" type="noConversion"/>
  </si>
  <si>
    <t>魔沼蛙,峽谷迅捷蟹,紅樹怪,藍魔像,薩特竊神者,薩特苦難使者,黑暗巨魔召喚法師</t>
    <phoneticPr fontId="1" type="noConversion"/>
  </si>
  <si>
    <t>25,26,27,28,29,30,32</t>
    <phoneticPr fontId="1" type="noConversion"/>
  </si>
  <si>
    <t>鋒喙鳥x5,巨型鋒喙鳥</t>
  </si>
  <si>
    <t>石甲蟲x4,巨型石甲蟲</t>
  </si>
  <si>
    <t>暗影狼x2,巨型暗影狼</t>
  </si>
  <si>
    <t>鬼魂x3</t>
  </si>
  <si>
    <t>狗頭人x4,狗頭人王</t>
  </si>
  <si>
    <t>鷹身女妖偵察者x2,鷹身女妖風暴巫師</t>
  </si>
  <si>
    <t>豺狼人刺客x4</t>
  </si>
  <si>
    <t>巨魔狂戰士x3,巨魔牧師</t>
  </si>
  <si>
    <t>巨狼x2,頭狼</t>
  </si>
  <si>
    <t>半人馬獵手,半人馬征服者</t>
  </si>
  <si>
    <t>岩石傀儡x2</t>
  </si>
  <si>
    <t>梟獸x2,梟獸撕裂者</t>
  </si>
  <si>
    <t>食人魔拳手x2,食人魔冰霜法師</t>
  </si>
  <si>
    <t>地獄熊怪,地獄熊怪粉碎者</t>
  </si>
  <si>
    <t>混和</t>
    <phoneticPr fontId="1" type="noConversion"/>
  </si>
  <si>
    <t>1,1,1,1,1,4</t>
    <phoneticPr fontId="1" type="noConversion"/>
  </si>
  <si>
    <t>2,2,2,2,23</t>
    <phoneticPr fontId="1" type="noConversion"/>
  </si>
  <si>
    <t>3,3,24</t>
    <phoneticPr fontId="1" type="noConversion"/>
  </si>
  <si>
    <t>單獨隨機出怪</t>
    <phoneticPr fontId="1" type="noConversion"/>
  </si>
  <si>
    <t>10~20</t>
    <phoneticPr fontId="1" type="noConversion"/>
  </si>
  <si>
    <t>3~10</t>
    <phoneticPr fontId="1" type="noConversion"/>
  </si>
  <si>
    <t>4,4,4</t>
    <phoneticPr fontId="1" type="noConversion"/>
  </si>
  <si>
    <t>5,5,5,5,20</t>
    <phoneticPr fontId="1" type="noConversion"/>
  </si>
  <si>
    <t>6,6,13</t>
    <phoneticPr fontId="1" type="noConversion"/>
  </si>
  <si>
    <t>7,7,7,7</t>
    <phoneticPr fontId="1" type="noConversion"/>
  </si>
  <si>
    <t>8,8,8,21</t>
    <phoneticPr fontId="1" type="noConversion"/>
  </si>
  <si>
    <t>9,9,14</t>
    <phoneticPr fontId="1" type="noConversion"/>
  </si>
  <si>
    <t>10,31</t>
    <phoneticPr fontId="1" type="noConversion"/>
  </si>
  <si>
    <t>11,11</t>
    <phoneticPr fontId="1" type="noConversion"/>
  </si>
  <si>
    <t>12,12,19</t>
    <phoneticPr fontId="1" type="noConversion"/>
  </si>
  <si>
    <t>15,15,16</t>
    <phoneticPr fontId="1" type="noConversion"/>
  </si>
  <si>
    <t>17,18</t>
    <phoneticPr fontId="1" type="noConversion"/>
  </si>
  <si>
    <t>SpawnPos</t>
    <phoneticPr fontId="1" type="noConversion"/>
  </si>
  <si>
    <t>出怪位置</t>
    <phoneticPr fontId="1" type="noConversion"/>
  </si>
  <si>
    <t>目的位置</t>
    <phoneticPr fontId="1" type="noConversion"/>
  </si>
  <si>
    <t>TargetPos</t>
    <phoneticPr fontId="1" type="noConversion"/>
  </si>
  <si>
    <t>MonsterSpawnerIDs</t>
    <phoneticPr fontId="1" type="noConversion"/>
  </si>
  <si>
    <t>出怪IDs</t>
    <phoneticPr fontId="1" type="noConversion"/>
  </si>
  <si>
    <t>All</t>
  </si>
  <si>
    <t>Random</t>
  </si>
  <si>
    <t>Random</t>
    <phoneticPr fontId="1" type="noConversion"/>
  </si>
  <si>
    <t>頭目出怪</t>
    <phoneticPr fontId="1" type="noConversion"/>
  </si>
  <si>
    <t>全部出怪</t>
    <phoneticPr fontId="1" type="noConversion"/>
  </si>
  <si>
    <t>隨機出怪</t>
    <phoneticPr fontId="1" type="noConversion"/>
  </si>
  <si>
    <t>MonsterSpawnIntervalSec</t>
    <phoneticPr fontId="1" type="noConversion"/>
  </si>
  <si>
    <t>MonsterType</t>
    <phoneticPr fontId="1" type="noConversion"/>
  </si>
  <si>
    <t>怪物類型</t>
    <phoneticPr fontId="1" type="noConversion"/>
  </si>
  <si>
    <t>4~4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</si>
</sst>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2">
    <font>
      <sz val="11"/>
      <color theme="1"/>
      <name val="新細明體"/>
      <family val="2"/>
      <scheme val="minor"/>
    </font>
    <font>
      <sz val="9"/>
      <name val="新細明體"/>
      <family val="3"/>
      <charset val="136"/>
      <scheme val="minor"/>
    </font>
    <font>
      <b/>
      <sz val="11"/>
      <color theme="0"/>
      <name val="新細明體"/>
      <family val="1"/>
      <charset val="136"/>
      <scheme val="minor"/>
    </font>
    <font>
      <b/>
      <sz val="11"/>
      <color theme="1"/>
      <name val="新細明體"/>
      <family val="1"/>
      <charset val="136"/>
      <scheme val="minor"/>
    </font>
    <font>
      <b/>
      <sz val="12"/>
      <color theme="0"/>
      <name val="新細明體"/>
      <family val="1"/>
      <charset val="136"/>
      <scheme val="minor"/>
    </font>
    <font>
      <sz val="12"/>
      <color theme="0"/>
      <name val="新細明體"/>
      <family val="2"/>
      <scheme val="minor"/>
    </font>
    <font>
      <sz val="12"/>
      <name val="新細明體"/>
      <family val="1"/>
      <charset val="136"/>
      <scheme val="minor"/>
    </font>
    <font>
      <b/>
      <sz val="12"/>
      <color rgb="FFFF0000"/>
      <name val="新細明體"/>
      <family val="1"/>
      <charset val="136"/>
      <scheme val="minor"/>
    </font>
    <font>
      <sz val="11"/>
      <color theme="2" tint="-0.249977111117893"/>
      <name val="新細明體"/>
      <family val="2"/>
      <scheme val="minor"/>
    </font>
    <font>
      <sz val="11"/>
      <color theme="1"/>
      <name val="新細明體"/>
      <family val="2"/>
      <scheme val="minor"/>
    </font>
    <font>
      <sz val="12"/>
      <color indexed="8"/>
      <name val="新細明體"/>
      <family val="1"/>
      <charset val="128"/>
    </font>
    <font>
      <sz val="11"/>
      <color theme="0"/>
      <name val="新細明體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1" tint="0.249977111117893"/>
        <bgColor indexed="64"/>
      </patternFill>
    </fill>
  </fills>
  <borders count="1">
    <border>
      <left/>
      <right/>
      <top/>
      <bottom/>
      <diagonal/>
    </border>
  </borders>
  <cellStyleXfs count="3">
    <xf numFmtId="0" fontId="0" fillId="0" borderId="0"/>
    <xf numFmtId="0" fontId="9" fillId="0" borderId="0"/>
    <xf numFmtId="0" fontId="10" fillId="0" borderId="0">
      <alignment vertical="center"/>
    </xf>
  </cellStyleXfs>
  <cellXfs count="17">
    <xf numFmtId="0" fontId="0" fillId="0" borderId="0" xfId="0"/>
    <xf numFmtId="0" fontId="2" fillId="2" borderId="0" xfId="0" applyFont="1" applyFill="1"/>
    <xf numFmtId="0" fontId="3" fillId="0" borderId="0" xfId="0" applyFont="1"/>
    <xf numFmtId="0" fontId="4" fillId="2" borderId="0" xfId="0" applyFont="1" applyFill="1"/>
    <xf numFmtId="0" fontId="5" fillId="2" borderId="0" xfId="0" applyFont="1" applyFill="1"/>
    <xf numFmtId="0" fontId="6" fillId="0" borderId="0" xfId="0" applyFont="1"/>
    <xf numFmtId="0" fontId="0" fillId="0" borderId="0" xfId="0" applyAlignment="1">
      <alignment horizontal="center" vertical="center"/>
    </xf>
    <xf numFmtId="0" fontId="2" fillId="2" borderId="0" xfId="0" applyFont="1" applyFill="1" applyAlignment="1">
      <alignment horizontal="center" vertical="center"/>
    </xf>
    <xf numFmtId="0" fontId="8" fillId="3" borderId="0" xfId="0" applyFont="1" applyFill="1"/>
    <xf numFmtId="0" fontId="0" fillId="0" borderId="0" xfId="0" applyAlignment="1">
      <alignment wrapText="1"/>
    </xf>
    <xf numFmtId="0" fontId="3" fillId="0" borderId="0" xfId="1" applyFont="1"/>
    <xf numFmtId="0" fontId="3" fillId="0" borderId="0" xfId="0" applyFont="1" applyAlignment="1">
      <alignment horizontal="left" vertical="center"/>
    </xf>
    <xf numFmtId="0" fontId="0" fillId="0" borderId="0" xfId="0" applyAlignment="1">
      <alignment vertical="center"/>
    </xf>
    <xf numFmtId="0" fontId="0" fillId="0" borderId="0" xfId="1" applyFont="1"/>
    <xf numFmtId="0" fontId="11" fillId="2" borderId="0" xfId="0" applyFont="1" applyFill="1" applyAlignment="1">
      <alignment vertical="center"/>
    </xf>
    <xf numFmtId="0" fontId="2" fillId="2" borderId="0" xfId="0" applyFont="1" applyFill="1" applyAlignment="1">
      <alignment horizontal="left" vertical="center"/>
    </xf>
    <xf numFmtId="0" fontId="0" fillId="0" borderId="0" xfId="0" applyAlignment="1">
      <alignment horizontal="left" vertical="center"/>
    </xf>
  </cellXfs>
  <cellStyles count="3">
    <cellStyle name="Excel Built-in Normal" xfId="2" xr:uid="{00000000-0005-0000-0000-000000000000}"/>
    <cellStyle name="一般" xfId="0" builtinId="0"/>
    <cellStyle name="一般 2" xfId="1" xr:uid="{00000000-0005-0000-0000-000002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工作表1"/>
  <dimension ref="A1:F17"/>
  <sheetViews>
    <sheetView workbookViewId="0">
      <selection activeCell="B10" sqref="B10"/>
    </sheetView>
  </sheetViews>
  <sheetFormatPr defaultColWidth="10.42578125" defaultRowHeight="15.75"/>
  <cols>
    <col min="1" max="1" width="10.42578125" style="6"/>
    <col min="2" max="2" width="32.85546875" style="6" customWidth="1"/>
    <col min="3" max="3" width="15.7109375" style="6" customWidth="1"/>
    <col min="4" max="4" width="12" customWidth="1"/>
    <col min="5" max="5" width="16.5703125" customWidth="1"/>
    <col min="6" max="6" width="22.5703125" customWidth="1"/>
  </cols>
  <sheetData>
    <row r="1" spans="1:6" s="7" customFormat="1">
      <c r="A1" s="7" t="s">
        <v>79</v>
      </c>
      <c r="B1" s="7" t="s">
        <v>85</v>
      </c>
      <c r="C1" s="7" t="s">
        <v>86</v>
      </c>
      <c r="D1" s="7" t="s">
        <v>87</v>
      </c>
      <c r="E1" s="7" t="s">
        <v>95</v>
      </c>
      <c r="F1" s="7" t="s">
        <v>277</v>
      </c>
    </row>
    <row r="2" spans="1:6" s="7" customFormat="1">
      <c r="A2" s="7" t="s">
        <v>80</v>
      </c>
      <c r="B2" s="7" t="s">
        <v>88</v>
      </c>
      <c r="C2" s="7" t="s">
        <v>89</v>
      </c>
      <c r="D2" s="7" t="s">
        <v>90</v>
      </c>
      <c r="E2" s="7" t="s">
        <v>94</v>
      </c>
      <c r="F2" s="7" t="s">
        <v>278</v>
      </c>
    </row>
    <row r="3" spans="1:6" s="6" customFormat="1">
      <c r="B3" s="12"/>
    </row>
    <row r="4" spans="1:6" s="6" customFormat="1">
      <c r="A4" s="6">
        <v>1</v>
      </c>
      <c r="B4" s="12" t="s">
        <v>97</v>
      </c>
      <c r="C4" s="6" t="s">
        <v>96</v>
      </c>
      <c r="D4" s="6" t="s">
        <v>105</v>
      </c>
      <c r="E4" s="6">
        <v>1</v>
      </c>
      <c r="F4" s="6">
        <v>1004</v>
      </c>
    </row>
    <row r="5" spans="1:6" s="6" customFormat="1">
      <c r="A5" s="6">
        <v>2</v>
      </c>
      <c r="B5" s="12" t="s">
        <v>147</v>
      </c>
      <c r="C5" s="6" t="s">
        <v>99</v>
      </c>
      <c r="D5" s="6" t="s">
        <v>105</v>
      </c>
      <c r="E5" s="6">
        <v>5</v>
      </c>
      <c r="F5" s="6">
        <v>1004</v>
      </c>
    </row>
    <row r="6" spans="1:6" s="6" customFormat="1">
      <c r="A6" s="6">
        <v>3</v>
      </c>
      <c r="B6" s="12" t="s">
        <v>101</v>
      </c>
      <c r="C6" s="6" t="s">
        <v>96</v>
      </c>
      <c r="D6" s="6" t="s">
        <v>105</v>
      </c>
      <c r="E6" s="6">
        <v>10</v>
      </c>
      <c r="F6" s="6">
        <v>1004</v>
      </c>
    </row>
    <row r="7" spans="1:6" s="6" customFormat="1">
      <c r="A7" s="6">
        <v>4</v>
      </c>
      <c r="B7" s="12" t="s">
        <v>148</v>
      </c>
      <c r="C7" s="6" t="s">
        <v>99</v>
      </c>
      <c r="D7" s="6" t="s">
        <v>105</v>
      </c>
      <c r="E7" s="6">
        <v>30</v>
      </c>
      <c r="F7" s="6">
        <v>1004</v>
      </c>
    </row>
    <row r="8" spans="1:6" s="6" customFormat="1">
      <c r="A8" s="6">
        <v>5</v>
      </c>
      <c r="B8" s="12" t="s">
        <v>149</v>
      </c>
      <c r="C8" s="6" t="s">
        <v>96</v>
      </c>
      <c r="D8" s="6" t="s">
        <v>105</v>
      </c>
      <c r="E8" s="6">
        <v>50</v>
      </c>
      <c r="F8" s="6">
        <v>1004</v>
      </c>
    </row>
    <row r="9" spans="1:6" s="6" customFormat="1">
      <c r="A9" s="6">
        <v>6</v>
      </c>
      <c r="B9" s="12" t="s">
        <v>150</v>
      </c>
      <c r="C9" s="6" t="s">
        <v>99</v>
      </c>
      <c r="D9" s="6" t="s">
        <v>105</v>
      </c>
      <c r="E9" s="6">
        <v>100</v>
      </c>
      <c r="F9" s="6">
        <v>1004</v>
      </c>
    </row>
    <row r="10" spans="1:6" s="6" customFormat="1">
      <c r="A10" s="6">
        <v>7</v>
      </c>
      <c r="B10" s="12" t="s">
        <v>103</v>
      </c>
      <c r="C10" s="6" t="s">
        <v>96</v>
      </c>
      <c r="D10" s="6" t="s">
        <v>105</v>
      </c>
      <c r="E10" s="6">
        <v>200</v>
      </c>
      <c r="F10" s="6">
        <v>1004</v>
      </c>
    </row>
    <row r="11" spans="1:6" s="6" customFormat="1">
      <c r="A11" s="6">
        <v>8</v>
      </c>
      <c r="B11" s="12" t="s">
        <v>151</v>
      </c>
      <c r="C11" s="6" t="s">
        <v>99</v>
      </c>
      <c r="D11" s="6" t="s">
        <v>105</v>
      </c>
      <c r="E11" s="6">
        <v>300</v>
      </c>
      <c r="F11" s="6">
        <v>1004</v>
      </c>
    </row>
    <row r="12" spans="1:6" s="6" customFormat="1">
      <c r="B12" s="12"/>
    </row>
    <row r="13" spans="1:6" s="6" customFormat="1">
      <c r="B13" s="12"/>
    </row>
    <row r="14" spans="1:6" s="6" customFormat="1"/>
    <row r="15" spans="1:6" s="6" customFormat="1">
      <c r="B15" s="12"/>
    </row>
    <row r="17" spans="1:1">
      <c r="A17" s="11" t="s">
        <v>83</v>
      </c>
    </row>
  </sheetData>
  <dataConsolidate/>
  <phoneticPr fontId="1" type="noConversion"/>
  <pageMargins left="0.7" right="0.7" top="0.75" bottom="0.75" header="0.3" footer="0.3"/>
  <pageSetup paperSize="9" orientation="portrait" horizontalDpi="1200" verticalDpi="12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E1280D-43C1-49D3-8C37-947514CE98C1}">
  <sheetPr codeName="工作表2"/>
  <dimension ref="A1:I41"/>
  <sheetViews>
    <sheetView tabSelected="1" workbookViewId="0">
      <selection activeCell="B17" sqref="B17"/>
    </sheetView>
  </sheetViews>
  <sheetFormatPr defaultColWidth="10.42578125" defaultRowHeight="15.75"/>
  <cols>
    <col min="1" max="1" width="10.42578125" style="6"/>
    <col min="2" max="2" width="32.85546875" style="6" customWidth="1"/>
    <col min="3" max="3" width="15.7109375" style="6" customWidth="1"/>
    <col min="4" max="5" width="16.7109375" customWidth="1"/>
    <col min="6" max="6" width="28.42578125" customWidth="1"/>
    <col min="7" max="7" width="11.7109375" customWidth="1"/>
    <col min="8" max="8" width="12.28515625" customWidth="1"/>
  </cols>
  <sheetData>
    <row r="1" spans="1:9" s="7" customFormat="1">
      <c r="A1" s="7" t="s">
        <v>79</v>
      </c>
      <c r="B1" s="7" t="s">
        <v>85</v>
      </c>
      <c r="C1" s="7" t="s">
        <v>86</v>
      </c>
      <c r="D1" s="7" t="s">
        <v>107</v>
      </c>
      <c r="E1" s="7" t="s">
        <v>145</v>
      </c>
      <c r="F1" s="7" t="s">
        <v>285</v>
      </c>
      <c r="G1" s="7" t="s">
        <v>273</v>
      </c>
      <c r="H1" s="7" t="s">
        <v>276</v>
      </c>
    </row>
    <row r="2" spans="1:9" s="7" customFormat="1">
      <c r="A2" s="7" t="s">
        <v>80</v>
      </c>
      <c r="B2" s="7" t="s">
        <v>88</v>
      </c>
      <c r="C2" s="7" t="s">
        <v>89</v>
      </c>
      <c r="D2" s="7" t="s">
        <v>106</v>
      </c>
      <c r="E2" s="7" t="s">
        <v>144</v>
      </c>
      <c r="F2" s="7" t="s">
        <v>143</v>
      </c>
      <c r="G2" s="7" t="s">
        <v>274</v>
      </c>
      <c r="H2" s="7" t="s">
        <v>275</v>
      </c>
    </row>
    <row r="3" spans="1:9">
      <c r="B3" s="12"/>
    </row>
    <row r="4" spans="1:9">
      <c r="B4" s="14" t="s">
        <v>259</v>
      </c>
    </row>
    <row r="5" spans="1:9" s="6" customFormat="1">
      <c r="B5" s="12" t="s">
        <v>239</v>
      </c>
      <c r="C5" s="6" t="s">
        <v>255</v>
      </c>
      <c r="D5" s="16" t="s">
        <v>240</v>
      </c>
      <c r="E5" s="6" t="s">
        <v>280</v>
      </c>
      <c r="F5" s="6" t="s">
        <v>260</v>
      </c>
      <c r="I5" s="6">
        <v>1</v>
      </c>
    </row>
    <row r="6" spans="1:9" s="6" customFormat="1">
      <c r="B6" s="12"/>
    </row>
    <row r="7" spans="1:9">
      <c r="I7" s="6"/>
    </row>
    <row r="8" spans="1:9">
      <c r="B8" s="14" t="s">
        <v>234</v>
      </c>
      <c r="I8" s="6"/>
    </row>
    <row r="9" spans="1:9" s="6" customFormat="1">
      <c r="B9" s="16" t="s">
        <v>241</v>
      </c>
      <c r="C9" s="6" t="s">
        <v>91</v>
      </c>
      <c r="D9" s="6" t="s">
        <v>256</v>
      </c>
      <c r="E9" s="6" t="s">
        <v>279</v>
      </c>
      <c r="F9" s="6" t="s">
        <v>261</v>
      </c>
      <c r="I9" s="6">
        <v>1</v>
      </c>
    </row>
    <row r="10" spans="1:9" s="6" customFormat="1">
      <c r="B10" s="16" t="s">
        <v>242</v>
      </c>
      <c r="C10" s="6" t="s">
        <v>91</v>
      </c>
      <c r="D10" s="6" t="s">
        <v>257</v>
      </c>
      <c r="E10" s="6" t="s">
        <v>146</v>
      </c>
      <c r="F10" s="6" t="s">
        <v>261</v>
      </c>
      <c r="I10" s="6">
        <v>2</v>
      </c>
    </row>
    <row r="11" spans="1:9" s="6" customFormat="1">
      <c r="B11" s="16" t="s">
        <v>243</v>
      </c>
      <c r="C11" s="6" t="s">
        <v>91</v>
      </c>
      <c r="D11" s="6" t="s">
        <v>258</v>
      </c>
      <c r="E11" s="6" t="s">
        <v>146</v>
      </c>
      <c r="F11" s="6" t="s">
        <v>261</v>
      </c>
      <c r="I11" s="6">
        <v>3</v>
      </c>
    </row>
    <row r="12" spans="1:9" s="6" customFormat="1">
      <c r="B12" s="16" t="s">
        <v>244</v>
      </c>
      <c r="C12" s="6" t="s">
        <v>92</v>
      </c>
      <c r="D12" s="6" t="s">
        <v>262</v>
      </c>
      <c r="E12" s="6" t="s">
        <v>146</v>
      </c>
      <c r="F12" s="6" t="s">
        <v>261</v>
      </c>
      <c r="I12" s="6">
        <v>4</v>
      </c>
    </row>
    <row r="13" spans="1:9" s="6" customFormat="1">
      <c r="B13" s="16" t="s">
        <v>245</v>
      </c>
      <c r="C13" s="6" t="s">
        <v>92</v>
      </c>
      <c r="D13" s="6" t="s">
        <v>263</v>
      </c>
      <c r="E13" s="6" t="s">
        <v>146</v>
      </c>
      <c r="F13" s="6" t="s">
        <v>261</v>
      </c>
      <c r="I13" s="6">
        <v>5</v>
      </c>
    </row>
    <row r="14" spans="1:9" s="6" customFormat="1">
      <c r="B14" s="16" t="s">
        <v>246</v>
      </c>
      <c r="C14" s="6" t="s">
        <v>92</v>
      </c>
      <c r="D14" s="6" t="s">
        <v>264</v>
      </c>
      <c r="E14" s="6" t="s">
        <v>146</v>
      </c>
      <c r="F14" s="6" t="s">
        <v>261</v>
      </c>
      <c r="I14" s="6">
        <v>6</v>
      </c>
    </row>
    <row r="15" spans="1:9" s="6" customFormat="1">
      <c r="B15" s="16" t="s">
        <v>247</v>
      </c>
      <c r="C15" s="6" t="s">
        <v>92</v>
      </c>
      <c r="D15" s="6" t="s">
        <v>265</v>
      </c>
      <c r="E15" s="6" t="s">
        <v>146</v>
      </c>
      <c r="F15" s="6" t="s">
        <v>261</v>
      </c>
      <c r="I15" s="6">
        <v>7</v>
      </c>
    </row>
    <row r="16" spans="1:9" s="6" customFormat="1">
      <c r="B16" s="16" t="s">
        <v>248</v>
      </c>
      <c r="C16" s="6" t="s">
        <v>92</v>
      </c>
      <c r="D16" s="6" t="s">
        <v>266</v>
      </c>
      <c r="E16" s="6" t="s">
        <v>146</v>
      </c>
      <c r="F16" s="6" t="s">
        <v>261</v>
      </c>
      <c r="I16" s="6">
        <v>8</v>
      </c>
    </row>
    <row r="17" spans="1:9" s="6" customFormat="1">
      <c r="B17" s="16" t="s">
        <v>249</v>
      </c>
      <c r="C17" s="6" t="s">
        <v>92</v>
      </c>
      <c r="D17" s="6" t="s">
        <v>267</v>
      </c>
      <c r="E17" s="6" t="s">
        <v>146</v>
      </c>
      <c r="F17" s="6" t="s">
        <v>261</v>
      </c>
      <c r="I17" s="6">
        <v>9</v>
      </c>
    </row>
    <row r="18" spans="1:9" s="6" customFormat="1">
      <c r="B18" s="16" t="s">
        <v>250</v>
      </c>
      <c r="C18" s="6" t="s">
        <v>92</v>
      </c>
      <c r="D18" s="6" t="s">
        <v>268</v>
      </c>
      <c r="E18" s="6" t="s">
        <v>146</v>
      </c>
      <c r="F18" s="6" t="s">
        <v>261</v>
      </c>
      <c r="I18" s="6">
        <v>10</v>
      </c>
    </row>
    <row r="19" spans="1:9" s="6" customFormat="1">
      <c r="B19" s="16" t="s">
        <v>251</v>
      </c>
      <c r="C19" s="6" t="s">
        <v>92</v>
      </c>
      <c r="D19" s="6" t="s">
        <v>269</v>
      </c>
      <c r="E19" s="6" t="s">
        <v>146</v>
      </c>
      <c r="F19" s="6" t="s">
        <v>261</v>
      </c>
      <c r="I19" s="6">
        <v>11</v>
      </c>
    </row>
    <row r="20" spans="1:9" s="6" customFormat="1">
      <c r="B20" s="16" t="s">
        <v>252</v>
      </c>
      <c r="C20" s="6" t="s">
        <v>92</v>
      </c>
      <c r="D20" s="6" t="s">
        <v>270</v>
      </c>
      <c r="E20" s="6" t="s">
        <v>146</v>
      </c>
      <c r="F20" s="6" t="s">
        <v>261</v>
      </c>
      <c r="I20" s="6">
        <v>12</v>
      </c>
    </row>
    <row r="21" spans="1:9" s="6" customFormat="1">
      <c r="B21" s="16" t="s">
        <v>253</v>
      </c>
      <c r="C21" s="6" t="s">
        <v>92</v>
      </c>
      <c r="D21" s="6" t="s">
        <v>271</v>
      </c>
      <c r="E21" s="6" t="s">
        <v>146</v>
      </c>
      <c r="F21" s="6" t="s">
        <v>261</v>
      </c>
      <c r="I21" s="6">
        <v>13</v>
      </c>
    </row>
    <row r="22" spans="1:9" s="6" customFormat="1">
      <c r="B22" s="16" t="s">
        <v>254</v>
      </c>
      <c r="C22" s="6" t="s">
        <v>92</v>
      </c>
      <c r="D22" s="6" t="s">
        <v>272</v>
      </c>
      <c r="E22" s="6" t="s">
        <v>146</v>
      </c>
      <c r="F22" s="6" t="s">
        <v>261</v>
      </c>
      <c r="I22" s="6">
        <v>14</v>
      </c>
    </row>
    <row r="23" spans="1:9" s="6" customFormat="1">
      <c r="B23" s="12"/>
    </row>
    <row r="24" spans="1:9" s="6" customFormat="1">
      <c r="B24" s="12"/>
    </row>
    <row r="25" spans="1:9" s="6" customFormat="1">
      <c r="B25" s="14" t="s">
        <v>182</v>
      </c>
    </row>
    <row r="26" spans="1:9" s="6" customFormat="1">
      <c r="B26" s="12" t="s">
        <v>98</v>
      </c>
      <c r="C26" s="6" t="s">
        <v>91</v>
      </c>
      <c r="D26" s="6">
        <v>1001</v>
      </c>
      <c r="E26" s="6" t="s">
        <v>126</v>
      </c>
      <c r="F26" s="6" t="s">
        <v>288</v>
      </c>
      <c r="I26" s="6">
        <v>1001</v>
      </c>
    </row>
    <row r="27" spans="1:9" s="6" customFormat="1">
      <c r="B27" s="12" t="s">
        <v>100</v>
      </c>
      <c r="C27" s="6" t="s">
        <v>91</v>
      </c>
      <c r="D27" s="6">
        <v>1002</v>
      </c>
      <c r="E27" s="6" t="s">
        <v>126</v>
      </c>
      <c r="F27" s="6" t="s">
        <v>288</v>
      </c>
      <c r="I27" s="6">
        <v>1002</v>
      </c>
    </row>
    <row r="28" spans="1:9" s="6" customFormat="1">
      <c r="B28" s="12" t="s">
        <v>102</v>
      </c>
      <c r="C28" s="6" t="s">
        <v>91</v>
      </c>
      <c r="D28" s="6">
        <v>1003</v>
      </c>
      <c r="E28" s="6" t="s">
        <v>126</v>
      </c>
      <c r="F28" s="6" t="s">
        <v>288</v>
      </c>
      <c r="I28" s="6">
        <v>1003</v>
      </c>
    </row>
    <row r="29" spans="1:9" s="6" customFormat="1">
      <c r="A29" s="6">
        <v>1004</v>
      </c>
      <c r="B29" s="12" t="s">
        <v>104</v>
      </c>
      <c r="C29" s="6" t="s">
        <v>91</v>
      </c>
      <c r="D29" s="6">
        <v>1004</v>
      </c>
      <c r="E29" s="6" t="s">
        <v>126</v>
      </c>
      <c r="F29" s="6" t="s">
        <v>288</v>
      </c>
    </row>
    <row r="30" spans="1:9" s="6" customFormat="1">
      <c r="B30" s="12" t="s">
        <v>183</v>
      </c>
      <c r="C30" s="6" t="s">
        <v>92</v>
      </c>
      <c r="D30" s="6">
        <v>1001</v>
      </c>
      <c r="E30" s="6" t="s">
        <v>126</v>
      </c>
      <c r="F30" s="6" t="s">
        <v>288</v>
      </c>
      <c r="I30" s="6">
        <v>1005</v>
      </c>
    </row>
    <row r="31" spans="1:9" s="6" customFormat="1">
      <c r="B31" s="12" t="s">
        <v>184</v>
      </c>
      <c r="C31" s="6" t="s">
        <v>92</v>
      </c>
      <c r="D31" s="6">
        <v>1002</v>
      </c>
      <c r="E31" s="6" t="s">
        <v>126</v>
      </c>
      <c r="F31" s="6" t="s">
        <v>288</v>
      </c>
      <c r="I31" s="6">
        <v>1006</v>
      </c>
    </row>
    <row r="32" spans="1:9" s="6" customFormat="1">
      <c r="B32" s="12" t="s">
        <v>185</v>
      </c>
      <c r="C32" s="6" t="s">
        <v>92</v>
      </c>
      <c r="D32" s="6">
        <v>1003</v>
      </c>
      <c r="E32" s="6" t="s">
        <v>126</v>
      </c>
      <c r="F32" s="6" t="s">
        <v>288</v>
      </c>
      <c r="I32" s="6">
        <v>1007</v>
      </c>
    </row>
    <row r="33" spans="1:9" s="6" customFormat="1">
      <c r="B33" s="12" t="s">
        <v>186</v>
      </c>
      <c r="C33" s="6" t="s">
        <v>92</v>
      </c>
      <c r="D33" s="6">
        <v>1004</v>
      </c>
      <c r="E33" s="6" t="s">
        <v>126</v>
      </c>
      <c r="F33" s="6" t="s">
        <v>288</v>
      </c>
      <c r="I33" s="6">
        <v>1008</v>
      </c>
    </row>
    <row r="34" spans="1:9" s="6" customFormat="1">
      <c r="B34" s="12"/>
    </row>
    <row r="35" spans="1:9" s="6" customFormat="1">
      <c r="B35" s="12"/>
    </row>
    <row r="36" spans="1:9" s="6" customFormat="1">
      <c r="B36" s="12"/>
    </row>
    <row r="37" spans="1:9" s="6" customFormat="1">
      <c r="B37" s="12"/>
    </row>
    <row r="38" spans="1:9" s="6" customFormat="1">
      <c r="B38" s="12"/>
    </row>
    <row r="39" spans="1:9" s="6" customFormat="1">
      <c r="B39" s="12"/>
    </row>
    <row r="41" spans="1:9">
      <c r="A41" s="11" t="s">
        <v>83</v>
      </c>
    </row>
  </sheetData>
  <phoneticPr fontId="1" type="noConversion"/>
  <dataValidations count="1">
    <dataValidation type="list" allowBlank="1" showInputMessage="1" showErrorMessage="1" sqref="E1:E1048576" xr:uid="{D4E78361-2360-424A-B407-36B40339ACDA}">
      <formula1>SpawnType</formula1>
    </dataValidation>
  </dataValidation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05F4860-3AAD-49E2-B6F7-15CE93C7D144}">
  <sheetPr codeName="工作表3"/>
  <dimension ref="A1:I58"/>
  <sheetViews>
    <sheetView workbookViewId="0">
      <pane xSplit="1" ySplit="2" topLeftCell="B3" activePane="bottomRight" state="frozen"/>
      <selection pane="topRight" activeCell="B1" sqref="B1"/>
      <selection pane="bottomLeft" activeCell="A3" sqref="A3"/>
      <selection pane="bottomRight" activeCell="F41" sqref="F41:F48"/>
    </sheetView>
  </sheetViews>
  <sheetFormatPr defaultColWidth="10.42578125" defaultRowHeight="15.75"/>
  <cols>
    <col min="1" max="1" width="10.42578125" style="6"/>
    <col min="2" max="2" width="32.85546875" style="6" customWidth="1"/>
    <col min="3" max="3" width="15.7109375" style="6" customWidth="1"/>
    <col min="4" max="4" width="12" customWidth="1"/>
    <col min="5" max="6" width="16.5703125" customWidth="1"/>
    <col min="7" max="7" width="12.5703125" customWidth="1"/>
    <col min="9" max="9" width="17.7109375" customWidth="1"/>
  </cols>
  <sheetData>
    <row r="1" spans="1:9" s="7" customFormat="1">
      <c r="A1" s="7" t="s">
        <v>79</v>
      </c>
      <c r="B1" s="7" t="s">
        <v>85</v>
      </c>
      <c r="C1" s="7" t="s">
        <v>86</v>
      </c>
      <c r="D1" s="7" t="s">
        <v>87</v>
      </c>
      <c r="E1" s="7" t="s">
        <v>95</v>
      </c>
      <c r="F1" s="7" t="s">
        <v>286</v>
      </c>
      <c r="G1" s="7" t="s">
        <v>122</v>
      </c>
      <c r="H1" s="7" t="s">
        <v>237</v>
      </c>
      <c r="I1" s="7" t="s">
        <v>232</v>
      </c>
    </row>
    <row r="2" spans="1:9" s="7" customFormat="1">
      <c r="A2" s="7" t="s">
        <v>80</v>
      </c>
      <c r="B2" s="7" t="s">
        <v>88</v>
      </c>
      <c r="C2" s="7" t="s">
        <v>89</v>
      </c>
      <c r="D2" s="7" t="s">
        <v>90</v>
      </c>
      <c r="E2" s="7" t="s">
        <v>94</v>
      </c>
      <c r="F2" s="7" t="s">
        <v>287</v>
      </c>
      <c r="G2" s="7" t="s">
        <v>121</v>
      </c>
      <c r="H2" s="7" t="s">
        <v>238</v>
      </c>
      <c r="I2" s="7" t="s">
        <v>233</v>
      </c>
    </row>
    <row r="3" spans="1:9">
      <c r="B3" s="12"/>
    </row>
    <row r="4" spans="1:9">
      <c r="B4" s="14" t="s">
        <v>152</v>
      </c>
    </row>
    <row r="5" spans="1:9" s="6" customFormat="1">
      <c r="A5" s="6">
        <v>1</v>
      </c>
      <c r="B5" s="12" t="s">
        <v>108</v>
      </c>
      <c r="C5" s="6" t="s">
        <v>96</v>
      </c>
      <c r="D5" s="6" t="str">
        <f>"monster"&amp;A5</f>
        <v>monster1</v>
      </c>
      <c r="E5" s="6">
        <v>2</v>
      </c>
      <c r="F5" s="6" t="s">
        <v>124</v>
      </c>
      <c r="G5" s="6">
        <f>ROUND(E5/2,0)</f>
        <v>1</v>
      </c>
    </row>
    <row r="6" spans="1:9" s="6" customFormat="1">
      <c r="A6" s="6">
        <v>2</v>
      </c>
      <c r="B6" s="12" t="s">
        <v>153</v>
      </c>
      <c r="C6" s="6" t="s">
        <v>96</v>
      </c>
      <c r="D6" s="6" t="str">
        <f t="shared" ref="D6:D36" si="0">"monster"&amp;A6</f>
        <v>monster2</v>
      </c>
      <c r="E6" s="6">
        <v>4</v>
      </c>
      <c r="F6" s="6" t="s">
        <v>124</v>
      </c>
      <c r="G6" s="6">
        <f t="shared" ref="G6:G36" si="1">ROUND(E6/2,0)</f>
        <v>2</v>
      </c>
    </row>
    <row r="7" spans="1:9" s="6" customFormat="1">
      <c r="A7" s="6">
        <v>3</v>
      </c>
      <c r="B7" s="12" t="s">
        <v>154</v>
      </c>
      <c r="C7" s="6" t="s">
        <v>96</v>
      </c>
      <c r="D7" s="6" t="str">
        <f t="shared" si="0"/>
        <v>monster3</v>
      </c>
      <c r="E7" s="6">
        <v>6</v>
      </c>
      <c r="F7" s="6" t="s">
        <v>124</v>
      </c>
      <c r="G7" s="6">
        <f t="shared" si="1"/>
        <v>3</v>
      </c>
    </row>
    <row r="8" spans="1:9" s="6" customFormat="1">
      <c r="A8" s="6">
        <v>4</v>
      </c>
      <c r="B8" s="12" t="s">
        <v>155</v>
      </c>
      <c r="C8" s="6" t="s">
        <v>92</v>
      </c>
      <c r="D8" s="6" t="str">
        <f t="shared" si="0"/>
        <v>monster4</v>
      </c>
      <c r="E8" s="6">
        <v>8</v>
      </c>
      <c r="F8" s="6" t="s">
        <v>124</v>
      </c>
      <c r="G8" s="6">
        <f t="shared" si="1"/>
        <v>4</v>
      </c>
    </row>
    <row r="9" spans="1:9" s="6" customFormat="1">
      <c r="A9" s="6">
        <v>5</v>
      </c>
      <c r="B9" s="12" t="s">
        <v>156</v>
      </c>
      <c r="C9" s="6" t="s">
        <v>92</v>
      </c>
      <c r="D9" s="6" t="str">
        <f t="shared" si="0"/>
        <v>monster5</v>
      </c>
      <c r="E9" s="6">
        <v>10</v>
      </c>
      <c r="F9" s="6" t="s">
        <v>124</v>
      </c>
      <c r="G9" s="6">
        <f t="shared" si="1"/>
        <v>5</v>
      </c>
    </row>
    <row r="10" spans="1:9" s="6" customFormat="1">
      <c r="A10" s="6">
        <v>6</v>
      </c>
      <c r="B10" s="12" t="s">
        <v>157</v>
      </c>
      <c r="C10" s="6" t="s">
        <v>92</v>
      </c>
      <c r="D10" s="6" t="str">
        <f t="shared" si="0"/>
        <v>monster6</v>
      </c>
      <c r="E10" s="6">
        <v>12</v>
      </c>
      <c r="F10" s="6" t="s">
        <v>124</v>
      </c>
      <c r="G10" s="6">
        <f t="shared" si="1"/>
        <v>6</v>
      </c>
    </row>
    <row r="11" spans="1:9" s="6" customFormat="1">
      <c r="A11" s="6">
        <v>7</v>
      </c>
      <c r="B11" s="12" t="s">
        <v>158</v>
      </c>
      <c r="C11" s="6" t="s">
        <v>92</v>
      </c>
      <c r="D11" s="6" t="str">
        <f t="shared" si="0"/>
        <v>monster7</v>
      </c>
      <c r="E11" s="6">
        <v>14</v>
      </c>
      <c r="F11" s="6" t="s">
        <v>124</v>
      </c>
      <c r="G11" s="6">
        <f t="shared" si="1"/>
        <v>7</v>
      </c>
    </row>
    <row r="12" spans="1:9" s="6" customFormat="1">
      <c r="A12" s="6">
        <v>8</v>
      </c>
      <c r="B12" s="12" t="s">
        <v>171</v>
      </c>
      <c r="C12" s="6" t="s">
        <v>92</v>
      </c>
      <c r="D12" s="6" t="str">
        <f t="shared" si="0"/>
        <v>monster8</v>
      </c>
      <c r="E12" s="6">
        <v>16</v>
      </c>
      <c r="F12" s="6" t="s">
        <v>124</v>
      </c>
      <c r="G12" s="6">
        <f t="shared" si="1"/>
        <v>8</v>
      </c>
    </row>
    <row r="13" spans="1:9" s="6" customFormat="1">
      <c r="A13" s="6">
        <v>9</v>
      </c>
      <c r="B13" s="12" t="s">
        <v>160</v>
      </c>
      <c r="C13" s="6" t="s">
        <v>92</v>
      </c>
      <c r="D13" s="6" t="str">
        <f t="shared" si="0"/>
        <v>monster9</v>
      </c>
      <c r="E13" s="6">
        <v>18</v>
      </c>
      <c r="F13" s="6" t="s">
        <v>124</v>
      </c>
      <c r="G13" s="6">
        <f t="shared" si="1"/>
        <v>9</v>
      </c>
    </row>
    <row r="14" spans="1:9" s="6" customFormat="1">
      <c r="A14" s="6">
        <v>10</v>
      </c>
      <c r="B14" s="12" t="s">
        <v>161</v>
      </c>
      <c r="C14" s="6" t="s">
        <v>92</v>
      </c>
      <c r="D14" s="6" t="str">
        <f t="shared" si="0"/>
        <v>monster10</v>
      </c>
      <c r="E14" s="6">
        <v>20</v>
      </c>
      <c r="F14" s="6" t="s">
        <v>124</v>
      </c>
      <c r="G14" s="6">
        <f t="shared" si="1"/>
        <v>10</v>
      </c>
    </row>
    <row r="15" spans="1:9" s="6" customFormat="1">
      <c r="A15" s="6">
        <v>11</v>
      </c>
      <c r="B15" s="12" t="s">
        <v>163</v>
      </c>
      <c r="C15" s="6" t="s">
        <v>92</v>
      </c>
      <c r="D15" s="6" t="str">
        <f t="shared" si="0"/>
        <v>monster11</v>
      </c>
      <c r="E15" s="6">
        <v>22</v>
      </c>
      <c r="F15" s="6" t="s">
        <v>124</v>
      </c>
      <c r="G15" s="6">
        <f t="shared" si="1"/>
        <v>11</v>
      </c>
    </row>
    <row r="16" spans="1:9" s="6" customFormat="1">
      <c r="A16" s="6">
        <v>12</v>
      </c>
      <c r="B16" s="12" t="s">
        <v>162</v>
      </c>
      <c r="C16" s="6" t="s">
        <v>92</v>
      </c>
      <c r="D16" s="6" t="str">
        <f t="shared" si="0"/>
        <v>monster12</v>
      </c>
      <c r="E16" s="6">
        <v>24</v>
      </c>
      <c r="F16" s="6" t="s">
        <v>124</v>
      </c>
      <c r="G16" s="6">
        <f t="shared" si="1"/>
        <v>12</v>
      </c>
    </row>
    <row r="17" spans="1:8" s="6" customFormat="1">
      <c r="A17" s="6">
        <v>13</v>
      </c>
      <c r="B17" s="12" t="s">
        <v>164</v>
      </c>
      <c r="C17" s="6" t="s">
        <v>92</v>
      </c>
      <c r="D17" s="6" t="str">
        <f t="shared" si="0"/>
        <v>monster13</v>
      </c>
      <c r="E17" s="6">
        <v>26</v>
      </c>
      <c r="F17" s="6" t="s">
        <v>124</v>
      </c>
      <c r="G17" s="6">
        <f t="shared" si="1"/>
        <v>13</v>
      </c>
    </row>
    <row r="18" spans="1:8" s="6" customFormat="1">
      <c r="A18" s="6">
        <v>14</v>
      </c>
      <c r="B18" s="12" t="s">
        <v>165</v>
      </c>
      <c r="C18" s="6" t="s">
        <v>92</v>
      </c>
      <c r="D18" s="6" t="str">
        <f t="shared" si="0"/>
        <v>monster14</v>
      </c>
      <c r="E18" s="6">
        <v>28</v>
      </c>
      <c r="F18" s="6" t="s">
        <v>124</v>
      </c>
      <c r="G18" s="6">
        <f t="shared" si="1"/>
        <v>14</v>
      </c>
    </row>
    <row r="19" spans="1:8" s="6" customFormat="1">
      <c r="A19" s="6">
        <v>15</v>
      </c>
      <c r="B19" s="12" t="s">
        <v>166</v>
      </c>
      <c r="C19" s="6" t="s">
        <v>92</v>
      </c>
      <c r="D19" s="6" t="str">
        <f t="shared" si="0"/>
        <v>monster15</v>
      </c>
      <c r="E19" s="6">
        <v>30</v>
      </c>
      <c r="F19" s="6" t="s">
        <v>124</v>
      </c>
      <c r="G19" s="6">
        <f t="shared" si="1"/>
        <v>15</v>
      </c>
    </row>
    <row r="20" spans="1:8" s="6" customFormat="1">
      <c r="A20" s="6">
        <v>16</v>
      </c>
      <c r="B20" s="12" t="s">
        <v>167</v>
      </c>
      <c r="C20" s="6" t="s">
        <v>92</v>
      </c>
      <c r="D20" s="6" t="str">
        <f t="shared" si="0"/>
        <v>monster16</v>
      </c>
      <c r="E20" s="6">
        <v>35</v>
      </c>
      <c r="F20" s="6" t="s">
        <v>124</v>
      </c>
      <c r="G20" s="6">
        <f t="shared" si="1"/>
        <v>18</v>
      </c>
    </row>
    <row r="21" spans="1:8" s="6" customFormat="1">
      <c r="A21" s="6">
        <v>17</v>
      </c>
      <c r="B21" s="12" t="s">
        <v>235</v>
      </c>
      <c r="C21" s="6" t="s">
        <v>92</v>
      </c>
      <c r="D21" s="6" t="str">
        <f t="shared" si="0"/>
        <v>monster17</v>
      </c>
      <c r="E21" s="6">
        <v>40</v>
      </c>
      <c r="F21" s="6" t="s">
        <v>124</v>
      </c>
      <c r="G21" s="6">
        <f t="shared" si="1"/>
        <v>20</v>
      </c>
    </row>
    <row r="22" spans="1:8" s="6" customFormat="1">
      <c r="A22" s="6">
        <v>18</v>
      </c>
      <c r="B22" s="12" t="s">
        <v>168</v>
      </c>
      <c r="C22" s="6" t="s">
        <v>92</v>
      </c>
      <c r="D22" s="6" t="str">
        <f t="shared" si="0"/>
        <v>monster18</v>
      </c>
      <c r="E22" s="6">
        <v>45</v>
      </c>
      <c r="F22" s="6" t="s">
        <v>124</v>
      </c>
      <c r="G22" s="6">
        <f t="shared" si="1"/>
        <v>23</v>
      </c>
    </row>
    <row r="23" spans="1:8" s="6" customFormat="1">
      <c r="A23" s="6">
        <v>19</v>
      </c>
      <c r="B23" s="12" t="s">
        <v>169</v>
      </c>
      <c r="C23" s="6" t="s">
        <v>92</v>
      </c>
      <c r="D23" s="6" t="str">
        <f t="shared" si="0"/>
        <v>monster19</v>
      </c>
      <c r="E23" s="6">
        <v>50</v>
      </c>
      <c r="F23" s="6" t="s">
        <v>124</v>
      </c>
      <c r="G23" s="6">
        <f t="shared" si="1"/>
        <v>25</v>
      </c>
    </row>
    <row r="24" spans="1:8" s="6" customFormat="1">
      <c r="A24" s="6">
        <v>20</v>
      </c>
      <c r="B24" s="12" t="s">
        <v>170</v>
      </c>
      <c r="C24" s="6" t="s">
        <v>92</v>
      </c>
      <c r="D24" s="6" t="str">
        <f t="shared" si="0"/>
        <v>monster20</v>
      </c>
      <c r="E24" s="6">
        <v>55</v>
      </c>
      <c r="F24" s="6" t="s">
        <v>124</v>
      </c>
      <c r="G24" s="6">
        <f t="shared" si="1"/>
        <v>28</v>
      </c>
    </row>
    <row r="25" spans="1:8" s="6" customFormat="1">
      <c r="A25" s="6">
        <v>21</v>
      </c>
      <c r="B25" s="12" t="s">
        <v>159</v>
      </c>
      <c r="C25" s="6" t="s">
        <v>92</v>
      </c>
      <c r="D25" s="6" t="str">
        <f t="shared" si="0"/>
        <v>monster21</v>
      </c>
      <c r="E25" s="6">
        <v>60</v>
      </c>
      <c r="F25" s="6" t="s">
        <v>124</v>
      </c>
      <c r="G25" s="6">
        <f t="shared" si="1"/>
        <v>30</v>
      </c>
    </row>
    <row r="26" spans="1:8" s="6" customFormat="1">
      <c r="A26" s="6">
        <v>22</v>
      </c>
      <c r="B26" s="12" t="s">
        <v>109</v>
      </c>
      <c r="C26" s="6" t="s">
        <v>96</v>
      </c>
      <c r="D26" s="6" t="str">
        <f t="shared" si="0"/>
        <v>monster22</v>
      </c>
      <c r="E26" s="6">
        <v>70</v>
      </c>
      <c r="F26" s="6" t="s">
        <v>124</v>
      </c>
      <c r="G26" s="6">
        <f t="shared" si="1"/>
        <v>35</v>
      </c>
    </row>
    <row r="27" spans="1:8" s="6" customFormat="1">
      <c r="A27" s="6">
        <v>23</v>
      </c>
      <c r="B27" s="12" t="s">
        <v>110</v>
      </c>
      <c r="C27" s="6" t="s">
        <v>96</v>
      </c>
      <c r="D27" s="6" t="str">
        <f t="shared" si="0"/>
        <v>monster23</v>
      </c>
      <c r="E27" s="6">
        <v>80</v>
      </c>
      <c r="F27" s="6" t="s">
        <v>124</v>
      </c>
      <c r="G27" s="6">
        <f t="shared" si="1"/>
        <v>40</v>
      </c>
    </row>
    <row r="28" spans="1:8" s="6" customFormat="1">
      <c r="A28" s="6">
        <v>24</v>
      </c>
      <c r="B28" s="12" t="s">
        <v>111</v>
      </c>
      <c r="C28" s="6" t="s">
        <v>96</v>
      </c>
      <c r="D28" s="6" t="str">
        <f t="shared" si="0"/>
        <v>monster24</v>
      </c>
      <c r="E28" s="6">
        <v>90</v>
      </c>
      <c r="F28" s="6" t="s">
        <v>124</v>
      </c>
      <c r="G28" s="6">
        <f t="shared" si="1"/>
        <v>45</v>
      </c>
    </row>
    <row r="29" spans="1:8" s="6" customFormat="1">
      <c r="A29" s="6">
        <v>25</v>
      </c>
      <c r="B29" s="12" t="s">
        <v>172</v>
      </c>
      <c r="C29" s="6" t="s">
        <v>96</v>
      </c>
      <c r="D29" s="6" t="str">
        <f t="shared" si="0"/>
        <v>monster25</v>
      </c>
      <c r="E29" s="6">
        <v>120</v>
      </c>
      <c r="F29" s="6" t="s">
        <v>124</v>
      </c>
      <c r="G29" s="6">
        <f t="shared" si="1"/>
        <v>60</v>
      </c>
    </row>
    <row r="30" spans="1:8" s="6" customFormat="1">
      <c r="A30" s="6">
        <v>26</v>
      </c>
      <c r="B30" s="12" t="s">
        <v>173</v>
      </c>
      <c r="C30" s="6" t="s">
        <v>96</v>
      </c>
      <c r="D30" s="6" t="str">
        <f t="shared" si="0"/>
        <v>monster26</v>
      </c>
      <c r="E30" s="6">
        <v>150</v>
      </c>
      <c r="F30" s="6" t="s">
        <v>124</v>
      </c>
      <c r="G30" s="6">
        <f t="shared" si="1"/>
        <v>75</v>
      </c>
      <c r="H30" s="6">
        <v>3</v>
      </c>
    </row>
    <row r="31" spans="1:8" s="6" customFormat="1">
      <c r="A31" s="6">
        <v>27</v>
      </c>
      <c r="B31" s="12" t="s">
        <v>113</v>
      </c>
      <c r="C31" s="6" t="s">
        <v>96</v>
      </c>
      <c r="D31" s="6" t="str">
        <f t="shared" si="0"/>
        <v>monster27</v>
      </c>
      <c r="E31" s="6">
        <v>180</v>
      </c>
      <c r="F31" s="6" t="s">
        <v>124</v>
      </c>
      <c r="G31" s="6">
        <f t="shared" si="1"/>
        <v>90</v>
      </c>
      <c r="H31" s="6">
        <v>1</v>
      </c>
    </row>
    <row r="32" spans="1:8" s="6" customFormat="1">
      <c r="A32" s="6">
        <v>28</v>
      </c>
      <c r="B32" s="12" t="s">
        <v>115</v>
      </c>
      <c r="C32" s="6" t="s">
        <v>96</v>
      </c>
      <c r="D32" s="6" t="str">
        <f t="shared" si="0"/>
        <v>monster28</v>
      </c>
      <c r="E32" s="6">
        <v>210</v>
      </c>
      <c r="F32" s="6" t="s">
        <v>124</v>
      </c>
      <c r="G32" s="6">
        <f t="shared" si="1"/>
        <v>105</v>
      </c>
      <c r="H32" s="6">
        <v>2</v>
      </c>
    </row>
    <row r="33" spans="1:8" s="6" customFormat="1">
      <c r="A33" s="6">
        <v>29</v>
      </c>
      <c r="B33" s="12" t="s">
        <v>174</v>
      </c>
      <c r="C33" s="6" t="s">
        <v>92</v>
      </c>
      <c r="D33" s="6" t="str">
        <f t="shared" si="0"/>
        <v>monster29</v>
      </c>
      <c r="E33" s="6">
        <v>250</v>
      </c>
      <c r="F33" s="6" t="s">
        <v>124</v>
      </c>
      <c r="G33" s="6">
        <f t="shared" si="1"/>
        <v>125</v>
      </c>
    </row>
    <row r="34" spans="1:8" s="6" customFormat="1">
      <c r="A34" s="6">
        <v>30</v>
      </c>
      <c r="B34" s="12" t="s">
        <v>236</v>
      </c>
      <c r="C34" s="6" t="s">
        <v>99</v>
      </c>
      <c r="D34" s="6" t="str">
        <f t="shared" si="0"/>
        <v>monster30</v>
      </c>
      <c r="E34" s="6">
        <v>290</v>
      </c>
      <c r="F34" s="6" t="s">
        <v>124</v>
      </c>
      <c r="G34" s="6">
        <f t="shared" si="1"/>
        <v>145</v>
      </c>
    </row>
    <row r="35" spans="1:8" s="6" customFormat="1">
      <c r="A35" s="6">
        <v>31</v>
      </c>
      <c r="B35" s="12" t="s">
        <v>175</v>
      </c>
      <c r="C35" s="6" t="s">
        <v>92</v>
      </c>
      <c r="D35" s="6" t="str">
        <f t="shared" si="0"/>
        <v>monster31</v>
      </c>
      <c r="E35" s="6">
        <v>330</v>
      </c>
      <c r="F35" s="6" t="s">
        <v>124</v>
      </c>
      <c r="G35" s="6">
        <f t="shared" si="1"/>
        <v>165</v>
      </c>
      <c r="H35" s="6">
        <v>5</v>
      </c>
    </row>
    <row r="36" spans="1:8" s="6" customFormat="1">
      <c r="A36" s="6">
        <v>32</v>
      </c>
      <c r="B36" s="12" t="s">
        <v>176</v>
      </c>
      <c r="C36" s="6" t="s">
        <v>92</v>
      </c>
      <c r="D36" s="6" t="str">
        <f t="shared" si="0"/>
        <v>monster32</v>
      </c>
      <c r="E36" s="6">
        <v>370</v>
      </c>
      <c r="F36" s="6" t="s">
        <v>124</v>
      </c>
      <c r="G36" s="6">
        <f t="shared" si="1"/>
        <v>185</v>
      </c>
      <c r="H36" s="6">
        <v>4</v>
      </c>
    </row>
    <row r="37" spans="1:8" s="6" customFormat="1">
      <c r="B37" s="12"/>
    </row>
    <row r="38" spans="1:8" s="6" customFormat="1">
      <c r="B38" s="12"/>
    </row>
    <row r="39" spans="1:8" s="6" customFormat="1">
      <c r="B39" s="12"/>
    </row>
    <row r="40" spans="1:8" s="6" customFormat="1">
      <c r="B40" s="14" t="s">
        <v>182</v>
      </c>
    </row>
    <row r="41" spans="1:8" s="6" customFormat="1">
      <c r="A41" s="6">
        <v>1001</v>
      </c>
      <c r="B41" s="12" t="s">
        <v>98</v>
      </c>
      <c r="C41" s="6" t="s">
        <v>96</v>
      </c>
      <c r="D41" s="6" t="str">
        <f t="shared" ref="D41:D48" si="2">"monster"&amp;A41</f>
        <v>monster1001</v>
      </c>
      <c r="E41" s="6">
        <v>400</v>
      </c>
      <c r="F41" s="6" t="s">
        <v>126</v>
      </c>
      <c r="G41" s="6">
        <f>ROUND(E41/2,0)</f>
        <v>200</v>
      </c>
      <c r="H41" s="6">
        <v>6</v>
      </c>
    </row>
    <row r="42" spans="1:8" s="6" customFormat="1">
      <c r="A42" s="6">
        <v>1002</v>
      </c>
      <c r="B42" s="12" t="s">
        <v>100</v>
      </c>
      <c r="C42" s="6" t="s">
        <v>96</v>
      </c>
      <c r="D42" s="6" t="str">
        <f t="shared" si="2"/>
        <v>monster1002</v>
      </c>
      <c r="E42" s="6">
        <v>400</v>
      </c>
      <c r="F42" s="6" t="s">
        <v>126</v>
      </c>
      <c r="G42" s="6">
        <f t="shared" ref="G42:G48" si="3">ROUND(E42/2,0)</f>
        <v>200</v>
      </c>
      <c r="H42" s="6">
        <v>7</v>
      </c>
    </row>
    <row r="43" spans="1:8" s="6" customFormat="1">
      <c r="A43" s="6">
        <v>1003</v>
      </c>
      <c r="B43" s="12" t="s">
        <v>102</v>
      </c>
      <c r="C43" s="6" t="s">
        <v>96</v>
      </c>
      <c r="D43" s="6" t="str">
        <f t="shared" si="2"/>
        <v>monster1003</v>
      </c>
      <c r="E43" s="6">
        <v>500</v>
      </c>
      <c r="F43" s="6" t="s">
        <v>126</v>
      </c>
      <c r="G43" s="6">
        <f t="shared" si="3"/>
        <v>250</v>
      </c>
      <c r="H43" s="6">
        <v>8</v>
      </c>
    </row>
    <row r="44" spans="1:8" s="6" customFormat="1">
      <c r="A44" s="6">
        <v>1004</v>
      </c>
      <c r="B44" s="12" t="s">
        <v>104</v>
      </c>
      <c r="C44" s="6" t="s">
        <v>96</v>
      </c>
      <c r="D44" s="6" t="str">
        <f t="shared" si="2"/>
        <v>monster1004</v>
      </c>
      <c r="E44" s="6">
        <v>500</v>
      </c>
      <c r="F44" s="6" t="s">
        <v>126</v>
      </c>
      <c r="G44" s="6">
        <f t="shared" si="3"/>
        <v>250</v>
      </c>
      <c r="H44" s="6">
        <v>9</v>
      </c>
    </row>
    <row r="45" spans="1:8" s="6" customFormat="1">
      <c r="A45" s="6">
        <v>1005</v>
      </c>
      <c r="B45" s="12" t="s">
        <v>183</v>
      </c>
      <c r="C45" s="6" t="s">
        <v>92</v>
      </c>
      <c r="D45" s="6" t="str">
        <f t="shared" si="2"/>
        <v>monster1005</v>
      </c>
      <c r="E45" s="6">
        <v>600</v>
      </c>
      <c r="F45" s="6" t="s">
        <v>126</v>
      </c>
      <c r="G45" s="6">
        <f t="shared" si="3"/>
        <v>300</v>
      </c>
      <c r="H45" s="6">
        <v>10</v>
      </c>
    </row>
    <row r="46" spans="1:8" s="6" customFormat="1">
      <c r="A46" s="6">
        <v>1006</v>
      </c>
      <c r="B46" s="12" t="s">
        <v>184</v>
      </c>
      <c r="C46" s="6" t="s">
        <v>92</v>
      </c>
      <c r="D46" s="6" t="str">
        <f t="shared" si="2"/>
        <v>monster1006</v>
      </c>
      <c r="E46" s="6">
        <v>600</v>
      </c>
      <c r="F46" s="6" t="s">
        <v>126</v>
      </c>
      <c r="G46" s="6">
        <f t="shared" si="3"/>
        <v>300</v>
      </c>
      <c r="H46" s="6">
        <v>11</v>
      </c>
    </row>
    <row r="47" spans="1:8" s="6" customFormat="1">
      <c r="A47" s="6">
        <v>1007</v>
      </c>
      <c r="B47" s="12" t="s">
        <v>185</v>
      </c>
      <c r="C47" s="6" t="s">
        <v>92</v>
      </c>
      <c r="D47" s="6" t="str">
        <f t="shared" si="2"/>
        <v>monster1007</v>
      </c>
      <c r="E47" s="6">
        <v>700</v>
      </c>
      <c r="F47" s="6" t="s">
        <v>126</v>
      </c>
      <c r="G47" s="6">
        <f t="shared" si="3"/>
        <v>350</v>
      </c>
      <c r="H47" s="6">
        <v>12</v>
      </c>
    </row>
    <row r="48" spans="1:8" s="6" customFormat="1">
      <c r="A48" s="6">
        <v>1008</v>
      </c>
      <c r="B48" s="12" t="s">
        <v>186</v>
      </c>
      <c r="C48" s="6" t="s">
        <v>92</v>
      </c>
      <c r="D48" s="6" t="str">
        <f t="shared" si="2"/>
        <v>monster1008</v>
      </c>
      <c r="E48" s="6">
        <v>700</v>
      </c>
      <c r="F48" s="6" t="s">
        <v>126</v>
      </c>
      <c r="G48" s="6">
        <f t="shared" si="3"/>
        <v>350</v>
      </c>
      <c r="H48" s="6">
        <v>13</v>
      </c>
    </row>
    <row r="49" spans="1:9" s="6" customFormat="1">
      <c r="B49" s="12"/>
    </row>
    <row r="50" spans="1:9" s="6" customFormat="1">
      <c r="B50" s="12"/>
    </row>
    <row r="51" spans="1:9" s="6" customFormat="1">
      <c r="B51" s="12"/>
    </row>
    <row r="52" spans="1:9">
      <c r="B52" s="14" t="s">
        <v>204</v>
      </c>
    </row>
    <row r="53" spans="1:9" s="6" customFormat="1">
      <c r="A53" s="6">
        <v>2001</v>
      </c>
      <c r="B53" s="12" t="s">
        <v>206</v>
      </c>
      <c r="C53" s="6" t="s">
        <v>92</v>
      </c>
      <c r="D53" s="6" t="str">
        <f t="shared" ref="D53:D54" si="4">"monster"&amp;A53</f>
        <v>monster2001</v>
      </c>
      <c r="F53" s="6" t="s">
        <v>205</v>
      </c>
      <c r="I53" s="6">
        <v>4</v>
      </c>
    </row>
    <row r="54" spans="1:9" s="6" customFormat="1">
      <c r="A54" s="6">
        <v>2002</v>
      </c>
      <c r="B54" s="12" t="s">
        <v>207</v>
      </c>
      <c r="C54" s="6" t="s">
        <v>91</v>
      </c>
      <c r="D54" s="6" t="str">
        <f t="shared" si="4"/>
        <v>monster2002</v>
      </c>
      <c r="F54" s="6" t="s">
        <v>205</v>
      </c>
      <c r="I54" s="6">
        <v>7</v>
      </c>
    </row>
    <row r="55" spans="1:9" s="6" customFormat="1">
      <c r="B55" s="12"/>
    </row>
    <row r="56" spans="1:9" s="6" customFormat="1">
      <c r="B56" s="12"/>
    </row>
    <row r="58" spans="1:9">
      <c r="A58" s="11" t="s">
        <v>83</v>
      </c>
    </row>
  </sheetData>
  <phoneticPr fontId="1" type="noConversion"/>
  <dataValidations count="1">
    <dataValidation type="list" allowBlank="1" showInputMessage="1" showErrorMessage="1" sqref="F3:F1048576" xr:uid="{83527453-F685-4A88-9105-F1B62B859E68}">
      <formula1>MonsterType</formula1>
    </dataValidation>
  </dataValidation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2FA35B-CFED-4655-9BDB-BF304FCEBDED}">
  <sheetPr codeName="工作表5"/>
  <dimension ref="A1:I26"/>
  <sheetViews>
    <sheetView workbookViewId="0">
      <selection activeCell="C18" sqref="C18"/>
    </sheetView>
  </sheetViews>
  <sheetFormatPr defaultColWidth="10.42578125" defaultRowHeight="15.75"/>
  <cols>
    <col min="1" max="1" width="10.42578125" style="6"/>
    <col min="2" max="2" width="15.28515625" style="6" customWidth="1"/>
    <col min="3" max="3" width="54.5703125" style="16" customWidth="1"/>
    <col min="4" max="4" width="9" customWidth="1"/>
    <col min="5" max="5" width="16.5703125" customWidth="1"/>
    <col min="6" max="6" width="18.85546875" customWidth="1"/>
    <col min="7" max="9" width="15.5703125" customWidth="1"/>
  </cols>
  <sheetData>
    <row r="1" spans="1:9" s="7" customFormat="1">
      <c r="A1" s="7" t="s">
        <v>79</v>
      </c>
      <c r="B1" s="7" t="s">
        <v>85</v>
      </c>
      <c r="C1" s="15" t="s">
        <v>86</v>
      </c>
      <c r="D1" s="7" t="s">
        <v>87</v>
      </c>
      <c r="E1" s="7" t="s">
        <v>130</v>
      </c>
      <c r="F1" s="7" t="s">
        <v>136</v>
      </c>
      <c r="G1" s="7" t="s">
        <v>137</v>
      </c>
      <c r="H1" s="7" t="s">
        <v>139</v>
      </c>
      <c r="I1" s="7" t="s">
        <v>140</v>
      </c>
    </row>
    <row r="2" spans="1:9" s="7" customFormat="1">
      <c r="A2" s="7" t="s">
        <v>80</v>
      </c>
      <c r="B2" s="7" t="s">
        <v>88</v>
      </c>
      <c r="C2" s="15" t="s">
        <v>89</v>
      </c>
      <c r="D2" s="7" t="s">
        <v>90</v>
      </c>
      <c r="E2" s="7" t="s">
        <v>131</v>
      </c>
      <c r="F2" s="7" t="s">
        <v>132</v>
      </c>
      <c r="G2" s="7" t="s">
        <v>138</v>
      </c>
      <c r="H2" s="7" t="s">
        <v>141</v>
      </c>
      <c r="I2" s="7" t="s">
        <v>142</v>
      </c>
    </row>
    <row r="3" spans="1:9">
      <c r="B3" s="12"/>
    </row>
    <row r="4" spans="1:9">
      <c r="B4" s="14" t="s">
        <v>91</v>
      </c>
    </row>
    <row r="5" spans="1:9" s="6" customFormat="1">
      <c r="A5" s="6">
        <v>1</v>
      </c>
      <c r="B5" s="12" t="s">
        <v>114</v>
      </c>
      <c r="C5" s="12" t="s">
        <v>219</v>
      </c>
      <c r="D5" s="6" t="str">
        <f>"drop"&amp;A5</f>
        <v>drop1</v>
      </c>
      <c r="E5" s="6">
        <v>30</v>
      </c>
      <c r="F5" s="6" t="s">
        <v>135</v>
      </c>
      <c r="G5" s="6">
        <v>1</v>
      </c>
    </row>
    <row r="6" spans="1:9" s="6" customFormat="1">
      <c r="A6" s="6">
        <v>2</v>
      </c>
      <c r="B6" s="12" t="s">
        <v>116</v>
      </c>
      <c r="C6" s="12" t="s">
        <v>123</v>
      </c>
      <c r="D6" s="6" t="str">
        <f t="shared" ref="D6:D17" si="0">"drop"&amp;A6</f>
        <v>drop2</v>
      </c>
      <c r="F6" s="6" t="s">
        <v>133</v>
      </c>
    </row>
    <row r="7" spans="1:9" s="6" customFormat="1">
      <c r="A7" s="6">
        <v>3</v>
      </c>
      <c r="B7" s="12" t="s">
        <v>112</v>
      </c>
      <c r="C7" s="12" t="s">
        <v>210</v>
      </c>
      <c r="D7" s="6" t="str">
        <f t="shared" si="0"/>
        <v>drop3</v>
      </c>
      <c r="F7" s="6" t="s">
        <v>203</v>
      </c>
      <c r="G7" s="6">
        <v>1</v>
      </c>
    </row>
    <row r="8" spans="1:9" s="6" customFormat="1">
      <c r="A8" s="6">
        <v>4</v>
      </c>
      <c r="B8" s="12" t="s">
        <v>177</v>
      </c>
      <c r="C8" s="12" t="s">
        <v>213</v>
      </c>
      <c r="D8" s="6" t="str">
        <f t="shared" si="0"/>
        <v>drop4</v>
      </c>
      <c r="E8" s="6">
        <v>40</v>
      </c>
      <c r="F8" s="6" t="s">
        <v>134</v>
      </c>
      <c r="G8" s="6">
        <v>2001</v>
      </c>
    </row>
    <row r="9" spans="1:9" s="6" customFormat="1">
      <c r="A9" s="6">
        <v>5</v>
      </c>
      <c r="B9" s="12" t="s">
        <v>178</v>
      </c>
      <c r="C9" s="12" t="s">
        <v>211</v>
      </c>
      <c r="D9" s="6" t="str">
        <f t="shared" si="0"/>
        <v>drop5</v>
      </c>
      <c r="F9" s="6" t="s">
        <v>181</v>
      </c>
      <c r="G9" s="6">
        <v>2</v>
      </c>
      <c r="H9" s="6">
        <v>20</v>
      </c>
    </row>
    <row r="10" spans="1:9" s="6" customFormat="1">
      <c r="A10" s="6">
        <v>6</v>
      </c>
      <c r="B10" s="12" t="s">
        <v>117</v>
      </c>
      <c r="C10" s="12" t="s">
        <v>217</v>
      </c>
      <c r="D10" s="6" t="str">
        <f t="shared" si="0"/>
        <v>drop6</v>
      </c>
      <c r="E10" s="6">
        <v>200</v>
      </c>
      <c r="F10" s="6" t="s">
        <v>187</v>
      </c>
      <c r="G10" s="6">
        <v>6</v>
      </c>
    </row>
    <row r="11" spans="1:9" s="6" customFormat="1">
      <c r="A11" s="6">
        <v>7</v>
      </c>
      <c r="B11" s="12" t="s">
        <v>118</v>
      </c>
      <c r="C11" s="12" t="s">
        <v>223</v>
      </c>
      <c r="D11" s="6" t="str">
        <f t="shared" si="0"/>
        <v>drop7</v>
      </c>
      <c r="E11" s="6">
        <v>250</v>
      </c>
      <c r="F11" s="6" t="s">
        <v>187</v>
      </c>
      <c r="G11" s="6">
        <v>7</v>
      </c>
    </row>
    <row r="12" spans="1:9" s="6" customFormat="1">
      <c r="A12" s="6">
        <v>8</v>
      </c>
      <c r="B12" s="12" t="s">
        <v>119</v>
      </c>
      <c r="C12" s="12" t="s">
        <v>215</v>
      </c>
      <c r="D12" s="6" t="str">
        <f t="shared" si="0"/>
        <v>drop8</v>
      </c>
      <c r="E12" s="6">
        <v>300</v>
      </c>
      <c r="F12" s="6" t="s">
        <v>134</v>
      </c>
      <c r="G12" s="6">
        <v>2002</v>
      </c>
    </row>
    <row r="13" spans="1:9" s="6" customFormat="1">
      <c r="A13" s="6">
        <v>9</v>
      </c>
      <c r="B13" s="12" t="s">
        <v>120</v>
      </c>
      <c r="C13" s="12" t="s">
        <v>225</v>
      </c>
      <c r="D13" s="6" t="str">
        <f t="shared" si="0"/>
        <v>drop9</v>
      </c>
      <c r="E13" s="6">
        <v>350</v>
      </c>
      <c r="F13" s="6" t="s">
        <v>135</v>
      </c>
      <c r="G13" s="6">
        <v>9</v>
      </c>
    </row>
    <row r="14" spans="1:9" s="6" customFormat="1">
      <c r="A14" s="6">
        <v>10</v>
      </c>
      <c r="B14" s="12" t="s">
        <v>179</v>
      </c>
      <c r="C14" s="12" t="s">
        <v>221</v>
      </c>
      <c r="D14" s="6" t="str">
        <f t="shared" si="0"/>
        <v>drop10</v>
      </c>
      <c r="E14" s="6">
        <v>200</v>
      </c>
      <c r="F14" s="6" t="s">
        <v>187</v>
      </c>
      <c r="G14" s="6">
        <v>10</v>
      </c>
    </row>
    <row r="15" spans="1:9" s="6" customFormat="1">
      <c r="A15" s="6">
        <v>11</v>
      </c>
      <c r="B15" s="12" t="s">
        <v>180</v>
      </c>
      <c r="C15" s="12" t="s">
        <v>227</v>
      </c>
      <c r="D15" s="6" t="str">
        <f t="shared" si="0"/>
        <v>drop11</v>
      </c>
      <c r="E15" s="6">
        <v>250</v>
      </c>
      <c r="F15" s="6" t="s">
        <v>187</v>
      </c>
      <c r="G15" s="6">
        <v>11</v>
      </c>
    </row>
    <row r="16" spans="1:9" s="6" customFormat="1">
      <c r="A16" s="6">
        <v>12</v>
      </c>
      <c r="B16" s="12" t="s">
        <v>201</v>
      </c>
      <c r="C16" s="12" t="s">
        <v>229</v>
      </c>
      <c r="D16" s="6" t="str">
        <f t="shared" si="0"/>
        <v>drop12</v>
      </c>
      <c r="E16" s="6">
        <v>300</v>
      </c>
      <c r="F16" s="6" t="s">
        <v>187</v>
      </c>
      <c r="G16" s="6">
        <v>12</v>
      </c>
    </row>
    <row r="17" spans="1:7" s="6" customFormat="1">
      <c r="A17" s="6">
        <v>13</v>
      </c>
      <c r="B17" s="12" t="s">
        <v>202</v>
      </c>
      <c r="C17" s="12" t="s">
        <v>231</v>
      </c>
      <c r="D17" s="6" t="str">
        <f t="shared" si="0"/>
        <v>drop13</v>
      </c>
      <c r="E17" s="6">
        <v>350</v>
      </c>
      <c r="F17" s="6" t="s">
        <v>187</v>
      </c>
      <c r="G17" s="6">
        <v>13</v>
      </c>
    </row>
    <row r="18" spans="1:7" s="6" customFormat="1">
      <c r="B18" s="12"/>
      <c r="C18" s="16"/>
    </row>
    <row r="19" spans="1:7" s="6" customFormat="1">
      <c r="B19" s="12"/>
      <c r="C19" s="16"/>
    </row>
    <row r="20" spans="1:7" s="6" customFormat="1">
      <c r="B20" s="12"/>
      <c r="C20" s="16"/>
    </row>
    <row r="21" spans="1:7" s="6" customFormat="1">
      <c r="B21" s="12"/>
      <c r="C21" s="16"/>
    </row>
    <row r="22" spans="1:7" s="6" customFormat="1">
      <c r="B22" s="12"/>
      <c r="C22" s="16"/>
    </row>
    <row r="23" spans="1:7" s="6" customFormat="1">
      <c r="B23" s="12"/>
      <c r="C23" s="16"/>
    </row>
    <row r="24" spans="1:7" s="6" customFormat="1">
      <c r="B24" s="12"/>
      <c r="C24" s="16"/>
    </row>
    <row r="26" spans="1:7">
      <c r="A26" s="11" t="s">
        <v>83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E3E36BF-CDFB-42F9-9098-E5E1F4870180}">
  <sheetPr codeName="工作表7"/>
  <dimension ref="A1:F17"/>
  <sheetViews>
    <sheetView workbookViewId="0">
      <selection activeCell="C9" sqref="C9"/>
    </sheetView>
  </sheetViews>
  <sheetFormatPr defaultColWidth="10.42578125" defaultRowHeight="15.75"/>
  <cols>
    <col min="1" max="1" width="10.42578125" style="6"/>
    <col min="2" max="2" width="18" style="6" customWidth="1"/>
    <col min="3" max="3" width="56.28515625" style="6" customWidth="1"/>
    <col min="5" max="5" width="21.140625" customWidth="1"/>
  </cols>
  <sheetData>
    <row r="1" spans="1:6" s="7" customFormat="1">
      <c r="A1" s="7" t="s">
        <v>79</v>
      </c>
      <c r="B1" s="7" t="s">
        <v>85</v>
      </c>
      <c r="C1" s="7" t="s">
        <v>86</v>
      </c>
      <c r="D1" s="7" t="s">
        <v>188</v>
      </c>
      <c r="E1" s="7" t="s">
        <v>189</v>
      </c>
      <c r="F1" s="7" t="s">
        <v>190</v>
      </c>
    </row>
    <row r="2" spans="1:6" s="7" customFormat="1">
      <c r="A2" s="7" t="s">
        <v>80</v>
      </c>
      <c r="B2" s="7" t="s">
        <v>88</v>
      </c>
      <c r="C2" s="7" t="s">
        <v>89</v>
      </c>
      <c r="D2" s="7" t="s">
        <v>191</v>
      </c>
      <c r="E2" s="7" t="s">
        <v>192</v>
      </c>
      <c r="F2" s="7" t="s">
        <v>193</v>
      </c>
    </row>
    <row r="3" spans="1:6">
      <c r="B3" s="12"/>
    </row>
    <row r="4" spans="1:6" s="6" customFormat="1">
      <c r="A4" s="6">
        <v>1</v>
      </c>
      <c r="B4" s="12" t="s">
        <v>195</v>
      </c>
      <c r="C4" s="16" t="s">
        <v>218</v>
      </c>
      <c r="D4" s="6">
        <v>3</v>
      </c>
      <c r="E4" s="6" t="s">
        <v>194</v>
      </c>
    </row>
    <row r="5" spans="1:6" s="6" customFormat="1">
      <c r="A5" s="6">
        <v>4</v>
      </c>
      <c r="B5" s="12" t="s">
        <v>208</v>
      </c>
      <c r="C5" s="16" t="s">
        <v>212</v>
      </c>
      <c r="D5" s="6">
        <v>2</v>
      </c>
      <c r="E5" s="6" t="s">
        <v>194</v>
      </c>
    </row>
    <row r="6" spans="1:6" s="6" customFormat="1">
      <c r="A6" s="6">
        <v>6</v>
      </c>
      <c r="B6" s="12" t="s">
        <v>196</v>
      </c>
      <c r="C6" s="16" t="s">
        <v>216</v>
      </c>
      <c r="D6" s="6">
        <v>200</v>
      </c>
    </row>
    <row r="7" spans="1:6" s="6" customFormat="1">
      <c r="A7" s="6">
        <v>7</v>
      </c>
      <c r="B7" s="12" t="s">
        <v>209</v>
      </c>
      <c r="C7" s="16" t="s">
        <v>222</v>
      </c>
      <c r="D7" s="6">
        <v>250</v>
      </c>
      <c r="E7" s="6" t="s">
        <v>194</v>
      </c>
    </row>
    <row r="8" spans="1:6" s="6" customFormat="1">
      <c r="A8" s="6">
        <v>8</v>
      </c>
      <c r="B8" s="12" t="s">
        <v>197</v>
      </c>
      <c r="C8" s="16" t="s">
        <v>214</v>
      </c>
      <c r="D8" s="6">
        <v>300</v>
      </c>
    </row>
    <row r="9" spans="1:6" s="6" customFormat="1">
      <c r="A9" s="6">
        <v>9</v>
      </c>
      <c r="B9" s="12" t="s">
        <v>198</v>
      </c>
      <c r="C9" s="16" t="s">
        <v>224</v>
      </c>
      <c r="D9" s="6">
        <v>350</v>
      </c>
    </row>
    <row r="10" spans="1:6">
      <c r="A10" s="6">
        <v>10</v>
      </c>
      <c r="B10" s="12" t="s">
        <v>199</v>
      </c>
      <c r="C10" s="16" t="s">
        <v>220</v>
      </c>
      <c r="D10" s="6">
        <v>200</v>
      </c>
    </row>
    <row r="11" spans="1:6" s="6" customFormat="1">
      <c r="A11" s="6">
        <v>11</v>
      </c>
      <c r="B11" s="12" t="s">
        <v>200</v>
      </c>
      <c r="C11" s="16" t="s">
        <v>226</v>
      </c>
      <c r="D11" s="6">
        <v>250</v>
      </c>
    </row>
    <row r="12" spans="1:6" s="6" customFormat="1">
      <c r="A12" s="6">
        <v>12</v>
      </c>
      <c r="B12" s="12" t="s">
        <v>201</v>
      </c>
      <c r="C12" s="16" t="s">
        <v>228</v>
      </c>
      <c r="D12" s="6">
        <v>300</v>
      </c>
    </row>
    <row r="13" spans="1:6" s="6" customFormat="1">
      <c r="A13" s="6">
        <v>13</v>
      </c>
      <c r="B13" s="12" t="s">
        <v>202</v>
      </c>
      <c r="C13" s="16" t="s">
        <v>230</v>
      </c>
      <c r="D13" s="6">
        <v>350</v>
      </c>
    </row>
    <row r="17" spans="1:1">
      <c r="A17" s="11" t="s">
        <v>83</v>
      </c>
    </row>
  </sheetData>
  <phoneticPr fontId="1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工作表4"/>
  <dimension ref="A1:M76"/>
  <sheetViews>
    <sheetView zoomScaleNormal="100" workbookViewId="0">
      <selection activeCell="D15" sqref="D15"/>
    </sheetView>
  </sheetViews>
  <sheetFormatPr defaultRowHeight="15.75"/>
  <cols>
    <col min="1" max="1" width="13.140625" customWidth="1"/>
    <col min="2" max="2" width="18.42578125" customWidth="1"/>
    <col min="3" max="3" width="13.85546875" customWidth="1"/>
    <col min="4" max="4" width="37.42578125" customWidth="1"/>
  </cols>
  <sheetData>
    <row r="1" spans="1:4" s="4" customFormat="1" ht="16.5">
      <c r="A1" s="3" t="s">
        <v>70</v>
      </c>
    </row>
    <row r="2" spans="1:4" ht="16.5">
      <c r="A2" s="5" t="s">
        <v>71</v>
      </c>
    </row>
    <row r="3" spans="1:4" ht="16.5">
      <c r="A3" s="5" t="s">
        <v>72</v>
      </c>
    </row>
    <row r="4" spans="1:4" ht="16.5">
      <c r="A4" s="5" t="s">
        <v>73</v>
      </c>
    </row>
    <row r="5" spans="1:4" ht="16.5">
      <c r="A5" s="5" t="s">
        <v>74</v>
      </c>
    </row>
    <row r="6" spans="1:4" ht="16.5">
      <c r="A6" s="5" t="s">
        <v>75</v>
      </c>
    </row>
    <row r="7" spans="1:4" ht="16.5">
      <c r="A7" s="5"/>
    </row>
    <row r="8" spans="1:4" ht="16.5">
      <c r="A8" s="5"/>
    </row>
    <row r="9" spans="1:4" s="1" customFormat="1">
      <c r="A9" s="1" t="s">
        <v>81</v>
      </c>
    </row>
    <row r="10" spans="1:4" s="1" customFormat="1">
      <c r="A10" s="1" t="s">
        <v>0</v>
      </c>
      <c r="B10" s="1" t="s">
        <v>78</v>
      </c>
      <c r="C10" s="1" t="s">
        <v>77</v>
      </c>
      <c r="D10" s="1" t="s">
        <v>76</v>
      </c>
    </row>
    <row r="12" spans="1:4">
      <c r="D12" s="9"/>
    </row>
    <row r="13" spans="1:4">
      <c r="D13" s="9"/>
    </row>
    <row r="15" spans="1:4">
      <c r="D15" s="9"/>
    </row>
    <row r="55" spans="1:13">
      <c r="A55" t="s">
        <v>23</v>
      </c>
      <c r="B55" t="s">
        <v>50</v>
      </c>
      <c r="C55" t="s">
        <v>12</v>
      </c>
      <c r="E55" t="s">
        <v>13</v>
      </c>
      <c r="F55" t="s">
        <v>14</v>
      </c>
      <c r="G55" t="s">
        <v>15</v>
      </c>
      <c r="H55" t="s">
        <v>16</v>
      </c>
      <c r="I55" t="s">
        <v>17</v>
      </c>
      <c r="J55" t="s">
        <v>18</v>
      </c>
      <c r="K55" t="s">
        <v>19</v>
      </c>
      <c r="L55" t="s">
        <v>20</v>
      </c>
      <c r="M55" t="s">
        <v>21</v>
      </c>
    </row>
    <row r="56" spans="1:13">
      <c r="A56" t="s">
        <v>24</v>
      </c>
      <c r="B56" t="s">
        <v>51</v>
      </c>
      <c r="C56" t="s">
        <v>12</v>
      </c>
      <c r="E56" t="s">
        <v>13</v>
      </c>
      <c r="F56" t="s">
        <v>14</v>
      </c>
      <c r="G56" t="s">
        <v>15</v>
      </c>
      <c r="H56" t="s">
        <v>16</v>
      </c>
      <c r="I56" t="s">
        <v>17</v>
      </c>
      <c r="J56" t="s">
        <v>18</v>
      </c>
      <c r="K56" t="s">
        <v>19</v>
      </c>
      <c r="L56" t="s">
        <v>20</v>
      </c>
      <c r="M56" t="s">
        <v>21</v>
      </c>
    </row>
    <row r="59" spans="1:13">
      <c r="A59" s="8" t="s">
        <v>28</v>
      </c>
      <c r="B59" s="8" t="s">
        <v>37</v>
      </c>
      <c r="C59" s="8" t="s">
        <v>22</v>
      </c>
      <c r="D59" s="8" t="s">
        <v>52</v>
      </c>
    </row>
    <row r="60" spans="1:13">
      <c r="A60" s="8" t="s">
        <v>29</v>
      </c>
      <c r="B60" s="8" t="s">
        <v>1</v>
      </c>
      <c r="C60" s="8" t="s">
        <v>22</v>
      </c>
      <c r="D60" s="8" t="s">
        <v>53</v>
      </c>
    </row>
    <row r="61" spans="1:13">
      <c r="A61" s="8" t="s">
        <v>30</v>
      </c>
      <c r="B61" s="8" t="s">
        <v>2</v>
      </c>
      <c r="C61" s="8" t="s">
        <v>22</v>
      </c>
      <c r="D61" s="8" t="s">
        <v>54</v>
      </c>
    </row>
    <row r="62" spans="1:13">
      <c r="A62" s="8" t="s">
        <v>31</v>
      </c>
      <c r="B62" s="8" t="s">
        <v>3</v>
      </c>
      <c r="C62" s="8" t="s">
        <v>22</v>
      </c>
      <c r="D62" s="8" t="s">
        <v>55</v>
      </c>
    </row>
    <row r="63" spans="1:13">
      <c r="A63" s="8" t="s">
        <v>32</v>
      </c>
      <c r="B63" s="8" t="s">
        <v>4</v>
      </c>
      <c r="C63" s="8" t="s">
        <v>22</v>
      </c>
      <c r="D63" s="8" t="s">
        <v>56</v>
      </c>
    </row>
    <row r="64" spans="1:13">
      <c r="A64" s="8" t="s">
        <v>33</v>
      </c>
      <c r="B64" s="8" t="s">
        <v>5</v>
      </c>
      <c r="C64" s="8" t="s">
        <v>22</v>
      </c>
      <c r="D64" s="8" t="s">
        <v>57</v>
      </c>
    </row>
    <row r="65" spans="1:4">
      <c r="A65" s="8" t="s">
        <v>45</v>
      </c>
      <c r="B65" s="8" t="s">
        <v>38</v>
      </c>
      <c r="C65" s="8" t="s">
        <v>22</v>
      </c>
      <c r="D65" s="8" t="s">
        <v>58</v>
      </c>
    </row>
    <row r="66" spans="1:4">
      <c r="A66" s="8" t="s">
        <v>34</v>
      </c>
      <c r="B66" s="8" t="s">
        <v>39</v>
      </c>
      <c r="C66" s="8" t="s">
        <v>22</v>
      </c>
      <c r="D66" s="8" t="s">
        <v>59</v>
      </c>
    </row>
    <row r="67" spans="1:4">
      <c r="A67" s="8" t="s">
        <v>43</v>
      </c>
      <c r="B67" s="8" t="s">
        <v>6</v>
      </c>
      <c r="C67" s="8" t="s">
        <v>22</v>
      </c>
      <c r="D67" s="8" t="s">
        <v>60</v>
      </c>
    </row>
    <row r="68" spans="1:4">
      <c r="A68" s="8" t="s">
        <v>46</v>
      </c>
      <c r="B68" s="8" t="s">
        <v>35</v>
      </c>
      <c r="C68" s="8" t="s">
        <v>22</v>
      </c>
      <c r="D68" s="8" t="s">
        <v>61</v>
      </c>
    </row>
    <row r="69" spans="1:4">
      <c r="A69" s="8" t="s">
        <v>44</v>
      </c>
      <c r="B69" s="8" t="s">
        <v>7</v>
      </c>
      <c r="C69" s="8" t="s">
        <v>22</v>
      </c>
      <c r="D69" s="8" t="s">
        <v>62</v>
      </c>
    </row>
    <row r="70" spans="1:4">
      <c r="A70" s="8" t="s">
        <v>47</v>
      </c>
      <c r="B70" s="8" t="s">
        <v>36</v>
      </c>
      <c r="C70" s="8" t="s">
        <v>22</v>
      </c>
      <c r="D70" s="8" t="s">
        <v>63</v>
      </c>
    </row>
    <row r="71" spans="1:4">
      <c r="A71" s="8" t="s">
        <v>41</v>
      </c>
      <c r="B71" s="8" t="s">
        <v>8</v>
      </c>
      <c r="C71" s="8" t="s">
        <v>22</v>
      </c>
      <c r="D71" s="8" t="s">
        <v>64</v>
      </c>
    </row>
    <row r="72" spans="1:4">
      <c r="A72" s="8" t="s">
        <v>42</v>
      </c>
      <c r="B72" s="8" t="s">
        <v>27</v>
      </c>
      <c r="C72" s="8" t="s">
        <v>22</v>
      </c>
      <c r="D72" s="8" t="s">
        <v>65</v>
      </c>
    </row>
    <row r="73" spans="1:4">
      <c r="A73" s="8" t="s">
        <v>26</v>
      </c>
      <c r="B73" s="8" t="s">
        <v>9</v>
      </c>
      <c r="C73" s="8" t="s">
        <v>22</v>
      </c>
      <c r="D73" s="8" t="s">
        <v>66</v>
      </c>
    </row>
    <row r="74" spans="1:4">
      <c r="A74" s="8" t="s">
        <v>25</v>
      </c>
      <c r="B74" s="8" t="s">
        <v>40</v>
      </c>
      <c r="C74" s="8" t="s">
        <v>22</v>
      </c>
      <c r="D74" s="8" t="s">
        <v>67</v>
      </c>
    </row>
    <row r="75" spans="1:4">
      <c r="A75" s="8" t="s">
        <v>48</v>
      </c>
      <c r="B75" s="8" t="s">
        <v>10</v>
      </c>
      <c r="C75" s="8" t="s">
        <v>22</v>
      </c>
      <c r="D75" s="8" t="s">
        <v>68</v>
      </c>
    </row>
    <row r="76" spans="1:4">
      <c r="A76" s="8" t="s">
        <v>49</v>
      </c>
      <c r="B76" s="8" t="s">
        <v>11</v>
      </c>
      <c r="C76" s="8" t="s">
        <v>22</v>
      </c>
      <c r="D76" s="8" t="s">
        <v>69</v>
      </c>
    </row>
  </sheetData>
  <phoneticPr fontId="1" type="noConversion"/>
  <pageMargins left="0.7" right="0.7" top="0.75" bottom="0.75" header="0.3" footer="0.3"/>
  <pageSetup paperSize="9" orientation="portrait" horizontalDpi="1200" verticalDpi="120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工作表6"/>
  <dimension ref="A1:F15"/>
  <sheetViews>
    <sheetView workbookViewId="0">
      <selection activeCell="A10" sqref="A10:A12"/>
    </sheetView>
  </sheetViews>
  <sheetFormatPr defaultRowHeight="15.75"/>
  <cols>
    <col min="1" max="1" width="19" customWidth="1"/>
    <col min="2" max="2" width="24.28515625" customWidth="1"/>
    <col min="3" max="3" width="17.140625" customWidth="1"/>
    <col min="4" max="4" width="21.7109375" customWidth="1"/>
    <col min="5" max="5" width="17.7109375" customWidth="1"/>
    <col min="6" max="6" width="23.140625" customWidth="1"/>
  </cols>
  <sheetData>
    <row r="1" spans="1:6">
      <c r="A1" s="10" t="s">
        <v>82</v>
      </c>
      <c r="B1" s="13" t="s">
        <v>84</v>
      </c>
    </row>
    <row r="2" spans="1:6">
      <c r="A2" s="2"/>
    </row>
    <row r="6" spans="1:6">
      <c r="A6" s="2"/>
    </row>
    <row r="9" spans="1:6" ht="16.5">
      <c r="A9" s="3" t="s">
        <v>286</v>
      </c>
      <c r="B9" s="3" t="s">
        <v>76</v>
      </c>
      <c r="C9" s="3" t="s">
        <v>93</v>
      </c>
      <c r="D9" s="3" t="s">
        <v>76</v>
      </c>
      <c r="E9" s="3" t="s">
        <v>145</v>
      </c>
      <c r="F9" s="3" t="s">
        <v>76</v>
      </c>
    </row>
    <row r="10" spans="1:6">
      <c r="A10" t="s">
        <v>125</v>
      </c>
      <c r="B10" s="9" t="s">
        <v>128</v>
      </c>
      <c r="D10" s="9"/>
      <c r="E10" t="s">
        <v>146</v>
      </c>
      <c r="F10" s="9" t="s">
        <v>283</v>
      </c>
    </row>
    <row r="11" spans="1:6">
      <c r="A11" t="s">
        <v>127</v>
      </c>
      <c r="B11" t="s">
        <v>129</v>
      </c>
      <c r="D11" s="9"/>
      <c r="E11" t="s">
        <v>127</v>
      </c>
      <c r="F11" t="s">
        <v>282</v>
      </c>
    </row>
    <row r="12" spans="1:6">
      <c r="A12" t="s">
        <v>134</v>
      </c>
      <c r="B12" t="s">
        <v>204</v>
      </c>
      <c r="E12" t="s">
        <v>281</v>
      </c>
      <c r="F12" t="s">
        <v>284</v>
      </c>
    </row>
    <row r="15" spans="1:6">
      <c r="D15" s="9"/>
    </row>
  </sheetData>
  <phoneticPr fontId="1" type="noConversion"/>
  <pageMargins left="0.7" right="0.7" top="0.75" bottom="0.75" header="0.3" footer="0.3"/>
  <pageSetup paperSize="9" orientation="portrait" horizontalDpi="0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7</vt:i4>
      </vt:variant>
    </vt:vector>
  </HeadingPairs>
  <TitlesOfParts>
    <vt:vector size="7" baseType="lpstr">
      <vt:lpstr>Map</vt:lpstr>
      <vt:lpstr>MonsterSpawner</vt:lpstr>
      <vt:lpstr>Monster</vt:lpstr>
      <vt:lpstr>Drop</vt:lpstr>
      <vt:lpstr>BuffSkill</vt:lpstr>
      <vt:lpstr>Info</vt:lpstr>
      <vt:lpstr>Setting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GameFactory</dc:creator>
  <cp:lastModifiedBy>User</cp:lastModifiedBy>
  <dcterms:created xsi:type="dcterms:W3CDTF">2015-06-05T18:19:34Z</dcterms:created>
  <dcterms:modified xsi:type="dcterms:W3CDTF">2023-07-27T10:05:01Z</dcterms:modified>
</cp:coreProperties>
</file>